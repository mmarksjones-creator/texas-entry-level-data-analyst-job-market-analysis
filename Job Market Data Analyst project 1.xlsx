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CA62D2BEA52476F/Documents/"/>
    </mc:Choice>
  </mc:AlternateContent>
  <xr:revisionPtr revIDLastSave="17" documentId="8_{0B97F0BB-DC54-46F5-A8E8-B5180A829432}" xr6:coauthVersionLast="47" xr6:coauthVersionMax="47" xr10:uidLastSave="{191FF068-0590-48EB-8F5E-F5809DBFFEA8}"/>
  <bookViews>
    <workbookView xWindow="8700" yWindow="210" windowWidth="25875" windowHeight="17550" firstSheet="2" activeTab="5" xr2:uid="{00000000-000D-0000-FFFF-FFFF00000000}"/>
  </bookViews>
  <sheets>
    <sheet name="Python Demand" sheetId="2" r:id="rId1"/>
    <sheet name="SQL Demand" sheetId="3" r:id="rId2"/>
    <sheet name="Excel Demand" sheetId="4" r:id="rId3"/>
    <sheet name="Jobs By City" sheetId="5" r:id="rId4"/>
    <sheet name="Average Salary By City" sheetId="9" r:id="rId5"/>
    <sheet name="Job Market Data Analyst project" sheetId="1" r:id="rId6"/>
    <sheet name="DashBoard" sheetId="6" r:id="rId7"/>
  </sheets>
  <definedNames>
    <definedName name="Excel">'Job Market Data Analyst project'!$H$1</definedName>
    <definedName name="Python">'Job Market Data Analyst project'!$G$1</definedName>
    <definedName name="SQL">'Job Market Data Analyst project'!$F$1</definedName>
  </definedNames>
  <calcPr calcId="191028"/>
  <pivotCaches>
    <pivotCache cacheId="81" r:id="rId8"/>
    <pivotCache cacheId="8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15" i="1"/>
  <c r="J65" i="1"/>
  <c r="J12" i="1"/>
  <c r="J73" i="1"/>
  <c r="J53" i="1"/>
  <c r="J35" i="1"/>
  <c r="J4" i="1"/>
  <c r="J81" i="1"/>
  <c r="J70" i="1"/>
  <c r="J33" i="1"/>
  <c r="J16" i="1"/>
  <c r="J54" i="1"/>
  <c r="J23" i="1"/>
  <c r="J17" i="1"/>
  <c r="J42" i="1"/>
  <c r="J43" i="1"/>
  <c r="J24" i="1"/>
  <c r="J36" i="1"/>
  <c r="J46" i="1"/>
  <c r="J25" i="1"/>
  <c r="J39" i="1"/>
  <c r="J64" i="1"/>
  <c r="J51" i="1"/>
  <c r="J19" i="1"/>
  <c r="J22" i="1"/>
  <c r="J40" i="1"/>
  <c r="J88" i="1"/>
  <c r="J55" i="1"/>
  <c r="J10" i="1"/>
  <c r="J91" i="1"/>
  <c r="J82" i="1"/>
  <c r="J18" i="1"/>
  <c r="J56" i="1"/>
  <c r="J6" i="1"/>
  <c r="J94" i="1"/>
  <c r="J57" i="1"/>
  <c r="J83" i="1"/>
  <c r="J92" i="1"/>
  <c r="J3" i="1"/>
  <c r="J26" i="1"/>
  <c r="J97" i="1"/>
  <c r="J52" i="1"/>
  <c r="J7" i="1"/>
  <c r="J14" i="1"/>
  <c r="J41" i="1"/>
  <c r="J80" i="1"/>
  <c r="J8" i="1"/>
  <c r="J32" i="1"/>
  <c r="J5" i="1"/>
  <c r="J34" i="1"/>
  <c r="J93" i="1"/>
  <c r="J98" i="1"/>
  <c r="J13" i="1"/>
  <c r="J99" i="1"/>
  <c r="J78" i="1"/>
  <c r="J47" i="1"/>
  <c r="J21" i="1"/>
  <c r="J69" i="1"/>
  <c r="J90" i="1"/>
  <c r="J100" i="1"/>
  <c r="J48" i="1"/>
  <c r="J58" i="1"/>
  <c r="J101" i="1"/>
  <c r="J9" i="1"/>
  <c r="J44" i="1"/>
  <c r="J66" i="1"/>
  <c r="J27" i="1"/>
  <c r="J20" i="1"/>
  <c r="J28" i="1"/>
  <c r="J72" i="1"/>
  <c r="J74" i="1"/>
  <c r="J68" i="1"/>
  <c r="J67" i="1"/>
  <c r="J86" i="1"/>
  <c r="J45" i="1"/>
  <c r="J96" i="1"/>
  <c r="J63" i="1"/>
  <c r="J71" i="1"/>
  <c r="J75" i="1"/>
  <c r="J37" i="1"/>
  <c r="J59" i="1"/>
  <c r="J76" i="1"/>
  <c r="J85" i="1"/>
  <c r="J89" i="1"/>
  <c r="J38" i="1"/>
  <c r="J60" i="1"/>
  <c r="J84" i="1"/>
  <c r="J61" i="1"/>
  <c r="J50" i="1"/>
  <c r="J31" i="1"/>
  <c r="J29" i="1"/>
  <c r="J62" i="1"/>
  <c r="J95" i="1"/>
  <c r="J77" i="1"/>
  <c r="J49" i="1"/>
  <c r="J79" i="1"/>
  <c r="J30" i="1"/>
  <c r="J87" i="1"/>
  <c r="J11" i="1"/>
  <c r="M2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1E030C-9899-4176-AC29-9B237735F56D}" keepAlive="1" name="Query - Table4" description="Connection to the 'Table4' query in the workbook." type="5" refreshedVersion="0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<sst xmlns="http://schemas.openxmlformats.org/spreadsheetml/2006/main" count="696" uniqueCount="226">
  <si>
    <t>Python</t>
  </si>
  <si>
    <t>Count of Python</t>
  </si>
  <si>
    <t>No</t>
  </si>
  <si>
    <t>Yes</t>
  </si>
  <si>
    <t>Grand Total</t>
  </si>
  <si>
    <t>SQL</t>
  </si>
  <si>
    <t>Count of SQL</t>
  </si>
  <si>
    <t>Excel</t>
  </si>
  <si>
    <t>Count of Excel</t>
  </si>
  <si>
    <t>City</t>
  </si>
  <si>
    <t>Job Title</t>
  </si>
  <si>
    <t xml:space="preserve"> Fort Worth</t>
  </si>
  <si>
    <t>Process Data Analyst- Entry Level</t>
  </si>
  <si>
    <t>Abilene</t>
  </si>
  <si>
    <t>Finance Analyst 1</t>
  </si>
  <si>
    <t>Austin</t>
  </si>
  <si>
    <t>Data Analyst</t>
  </si>
  <si>
    <t>Developer Analyst 1</t>
  </si>
  <si>
    <t>ECI Data and Report Analyst</t>
  </si>
  <si>
    <t>Performance Data Analyst</t>
  </si>
  <si>
    <t>Dallas</t>
  </si>
  <si>
    <t xml:space="preserve">Data Analyst </t>
  </si>
  <si>
    <t>Junior Data Analyst</t>
  </si>
  <si>
    <t>Junior Retail Data Analyst</t>
  </si>
  <si>
    <t>Denton</t>
  </si>
  <si>
    <t>El Paso</t>
  </si>
  <si>
    <t>Fort Worth</t>
  </si>
  <si>
    <t>Data Analyst 1</t>
  </si>
  <si>
    <t>Frisco</t>
  </si>
  <si>
    <t>Data Analytics Consumer Care</t>
  </si>
  <si>
    <t>Grand Prairie</t>
  </si>
  <si>
    <t>Houston</t>
  </si>
  <si>
    <t>Data Analyst Intern</t>
  </si>
  <si>
    <t>Irving</t>
  </si>
  <si>
    <t>Revenue Cycle Analyst</t>
  </si>
  <si>
    <t>Laredo</t>
  </si>
  <si>
    <t>SQL Server Data Analyst</t>
  </si>
  <si>
    <t>Round Rock</t>
  </si>
  <si>
    <t>San Antonio</t>
  </si>
  <si>
    <t>Research Analyst I</t>
  </si>
  <si>
    <t>Tax Data Analyst</t>
  </si>
  <si>
    <t>Texas City</t>
  </si>
  <si>
    <t>Junior Master Data Analyst</t>
  </si>
  <si>
    <t>Company</t>
  </si>
  <si>
    <t>Salary Low</t>
  </si>
  <si>
    <t>Years Experience</t>
  </si>
  <si>
    <t>Average Salary</t>
  </si>
  <si>
    <t>Siemens</t>
  </si>
  <si>
    <t>University of North Texas System</t>
  </si>
  <si>
    <t>Texas HHSC, Texas DSHS And Texas DFPS</t>
  </si>
  <si>
    <t>Analyst 1 Data Analysis and Operations</t>
  </si>
  <si>
    <t xml:space="preserve"> Houston Independent School District</t>
  </si>
  <si>
    <t>VirtualVocations</t>
  </si>
  <si>
    <t>DivIHN Integration Inc</t>
  </si>
  <si>
    <t>Lensa</t>
  </si>
  <si>
    <t>TechDigital Group</t>
  </si>
  <si>
    <t>Dexian</t>
  </si>
  <si>
    <t>DetaPent</t>
  </si>
  <si>
    <t>Remote Career</t>
  </si>
  <si>
    <t>Arsenault</t>
  </si>
  <si>
    <t>North East Independent School District</t>
  </si>
  <si>
    <t>Elevait Solutions</t>
  </si>
  <si>
    <t>MMC Group</t>
  </si>
  <si>
    <t>Junior Data Analytics Engineer</t>
  </si>
  <si>
    <t>Simplex</t>
  </si>
  <si>
    <t>Stirista LLC</t>
  </si>
  <si>
    <t>NorthStar Anesthesia</t>
  </si>
  <si>
    <t>Steampunk</t>
  </si>
  <si>
    <t>Abb Holdings Inc</t>
  </si>
  <si>
    <t>Texas Workforce Commission</t>
  </si>
  <si>
    <t>Kiewit Corporation</t>
  </si>
  <si>
    <t>Technology Data Analytics</t>
  </si>
  <si>
    <t>LPL Financial</t>
  </si>
  <si>
    <t>Keurig Dr Pepper, Inc.</t>
  </si>
  <si>
    <t>Entry Level Data Analyst</t>
  </si>
  <si>
    <t>CCS Global Tech</t>
  </si>
  <si>
    <t xml:space="preserve"> Austin</t>
  </si>
  <si>
    <t>Entry Level Data Scientist/Analyst</t>
  </si>
  <si>
    <t>SynergisticIT</t>
  </si>
  <si>
    <t>Growth Analytics Associate</t>
  </si>
  <si>
    <t>Rugiet Health</t>
  </si>
  <si>
    <t>Entry Level Casting Admin &amp; Data Analyst</t>
  </si>
  <si>
    <t>Shop LC</t>
  </si>
  <si>
    <t>Entry Level Business Analyst</t>
  </si>
  <si>
    <t>National Software Management</t>
  </si>
  <si>
    <t>Technical Analyst  Entry Level</t>
  </si>
  <si>
    <t>Data Entry Analyst</t>
  </si>
  <si>
    <t>Swoon Staffing</t>
  </si>
  <si>
    <t>Data Analyst Junior</t>
  </si>
  <si>
    <t>Viking Power Technologies</t>
  </si>
  <si>
    <t>Hudson Manpower</t>
  </si>
  <si>
    <t>Trade Entry Analyst</t>
  </si>
  <si>
    <t>Gunvor</t>
  </si>
  <si>
    <t>Jr Data Analyst</t>
  </si>
  <si>
    <t>Twelve Labs</t>
  </si>
  <si>
    <t>National Software management</t>
  </si>
  <si>
    <t>Associate Data Analyst</t>
  </si>
  <si>
    <t>Agoda</t>
  </si>
  <si>
    <t>Entry Level Interface Analyst</t>
  </si>
  <si>
    <t>Greater Houston Healthconnect</t>
  </si>
  <si>
    <t>Guru Schools</t>
  </si>
  <si>
    <t xml:space="preserve">Data Analyst-Entry Level </t>
  </si>
  <si>
    <t>Emonics</t>
  </si>
  <si>
    <t>Financial Analyst</t>
  </si>
  <si>
    <t>Russell Tobin</t>
  </si>
  <si>
    <t>Revenue Data Analyst</t>
  </si>
  <si>
    <t>Private Label Staff</t>
  </si>
  <si>
    <t>Plano</t>
  </si>
  <si>
    <t>Business Analyst</t>
  </si>
  <si>
    <t>RocketSauce Media Labs</t>
  </si>
  <si>
    <t>MSIT</t>
  </si>
  <si>
    <t>Upen Group Inc</t>
  </si>
  <si>
    <t xml:space="preserve">Entry level Data Analyst </t>
  </si>
  <si>
    <t>Hyosung Innovue</t>
  </si>
  <si>
    <t>Hybrid HR  Payroll Data Analyst</t>
  </si>
  <si>
    <t>PrimeSource Building Products</t>
  </si>
  <si>
    <t>Analyst I  Merchant Risk</t>
  </si>
  <si>
    <t>Affirm</t>
  </si>
  <si>
    <t>Codevista Solutions</t>
  </si>
  <si>
    <t>Energy Analyst I</t>
  </si>
  <si>
    <t>Tarrant Regional Water District</t>
  </si>
  <si>
    <t>Jr HRIS Analyst</t>
  </si>
  <si>
    <t>Jobs via Dice</t>
  </si>
  <si>
    <t>Addison</t>
  </si>
  <si>
    <t>Data Analytics Intern</t>
  </si>
  <si>
    <t>Cloudflare</t>
  </si>
  <si>
    <t>Data Analyst Contractor</t>
  </si>
  <si>
    <t>Ultimate Staffing</t>
  </si>
  <si>
    <t>Insights Analyst</t>
  </si>
  <si>
    <t>Meltwater</t>
  </si>
  <si>
    <t xml:space="preserve">Digital Analyst </t>
  </si>
  <si>
    <t>SGS Consulting</t>
  </si>
  <si>
    <t>Raise</t>
  </si>
  <si>
    <t>Gregory</t>
  </si>
  <si>
    <t>Reporting Analyst</t>
  </si>
  <si>
    <t xml:space="preserve">TUCO Inc </t>
  </si>
  <si>
    <t>Amarillo</t>
  </si>
  <si>
    <t>Payer Data Analyst</t>
  </si>
  <si>
    <t>Senderra Specialty Pharmacy</t>
  </si>
  <si>
    <t>Associate Analyst Division Order</t>
  </si>
  <si>
    <t>Energy Transfer Partners</t>
  </si>
  <si>
    <t>TOYO Solar Texas LLC</t>
  </si>
  <si>
    <t>Humble</t>
  </si>
  <si>
    <t>Jr Media Analyst</t>
  </si>
  <si>
    <t>Acosta Group</t>
  </si>
  <si>
    <t>Lewisville</t>
  </si>
  <si>
    <t>Specialist Analytics and Insights</t>
  </si>
  <si>
    <t>Gartner</t>
  </si>
  <si>
    <t>Provider Pricing Analyst</t>
  </si>
  <si>
    <t>University Health San Antonio</t>
  </si>
  <si>
    <t>Python Data Analyst</t>
  </si>
  <si>
    <t>The Elite Job</t>
  </si>
  <si>
    <t>San Marcos</t>
  </si>
  <si>
    <t>Compliance Analyst I</t>
  </si>
  <si>
    <t>Office of Attorney General District of Columbia</t>
  </si>
  <si>
    <t>IT Financial Analyst I</t>
  </si>
  <si>
    <t>Texas Association of School Boards</t>
  </si>
  <si>
    <t>Actuarial Analyst</t>
  </si>
  <si>
    <t>Texas Mutual Insurance Company</t>
  </si>
  <si>
    <t>Reimbursement Analyst I</t>
  </si>
  <si>
    <t>Texas Health and Human Services Commission</t>
  </si>
  <si>
    <t>Business Process Delivery Analyst</t>
  </si>
  <si>
    <t>Accenture</t>
  </si>
  <si>
    <t>Workday Systems Analyst</t>
  </si>
  <si>
    <t>Prestige Staffing</t>
  </si>
  <si>
    <t xml:space="preserve"> Addison</t>
  </si>
  <si>
    <t>Automation and Analytics Specialist</t>
  </si>
  <si>
    <t>Scott and Associates</t>
  </si>
  <si>
    <t>Entry Level Data Analyst/Engineer</t>
  </si>
  <si>
    <t>Synergistic it</t>
  </si>
  <si>
    <t>Budget Analyst</t>
  </si>
  <si>
    <t>Legislative Budget Board</t>
  </si>
  <si>
    <t>Compensation Analyst</t>
  </si>
  <si>
    <t>Lennox</t>
  </si>
  <si>
    <t>Richardson</t>
  </si>
  <si>
    <t>Data Modeler 1</t>
  </si>
  <si>
    <t xml:space="preserve"> Daiken Comfort</t>
  </si>
  <si>
    <t>Waller</t>
  </si>
  <si>
    <t>Data &amp; Technology Analyst</t>
  </si>
  <si>
    <t>University of Texas at Dallas</t>
  </si>
  <si>
    <t>Analyst 1</t>
  </si>
  <si>
    <t>Houston Independent School District</t>
  </si>
  <si>
    <t>Financial Analyst I</t>
  </si>
  <si>
    <t>The Exchange</t>
  </si>
  <si>
    <t>Digital Performance Analyst</t>
  </si>
  <si>
    <t>SoTalent</t>
  </si>
  <si>
    <t>Quant Analytics</t>
  </si>
  <si>
    <t>Hackajob</t>
  </si>
  <si>
    <t>Mechanical Data Analyst</t>
  </si>
  <si>
    <t>Experis</t>
  </si>
  <si>
    <t>Beaumont</t>
  </si>
  <si>
    <t>DATA ANALYST</t>
  </si>
  <si>
    <t>AaraTech Inc</t>
  </si>
  <si>
    <t xml:space="preserve"> Growth Analytics Associate</t>
  </si>
  <si>
    <t>Atechstar</t>
  </si>
  <si>
    <t>Codersdata</t>
  </si>
  <si>
    <t xml:space="preserve">
HMG AMERICA LLC </t>
  </si>
  <si>
    <t>Asset Protection Data Analyst</t>
  </si>
  <si>
    <t>Solomon Page</t>
  </si>
  <si>
    <t>Insight Global</t>
  </si>
  <si>
    <t>Pricing Analyst</t>
  </si>
  <si>
    <t>Bimbo Bakeries USA</t>
  </si>
  <si>
    <t xml:space="preserve">Marketing Analyst </t>
  </si>
  <si>
    <t>Wandata Tech</t>
  </si>
  <si>
    <t>Amazon</t>
  </si>
  <si>
    <t>Business Analyst I, Category Pricing</t>
  </si>
  <si>
    <t>Analyst Consultant</t>
  </si>
  <si>
    <t>NewGen Strategies &amp; Solutions</t>
  </si>
  <si>
    <t>Short Term Planning Analyst</t>
  </si>
  <si>
    <t>Robinhood</t>
  </si>
  <si>
    <t>Westlake</t>
  </si>
  <si>
    <t>GVEC</t>
  </si>
  <si>
    <t>Marketing Analyst</t>
  </si>
  <si>
    <t>Seguin</t>
  </si>
  <si>
    <t>Analyst, Commercial Analysis</t>
  </si>
  <si>
    <t>RWE</t>
  </si>
  <si>
    <t xml:space="preserve"> Associate Business Analyst</t>
  </si>
  <si>
    <t>Advantage Solutions</t>
  </si>
  <si>
    <t>Job Count</t>
  </si>
  <si>
    <t>Total Jobs</t>
  </si>
  <si>
    <t>Top City</t>
  </si>
  <si>
    <t>Top Skill</t>
  </si>
  <si>
    <t>KPIs</t>
  </si>
  <si>
    <t>Salary High</t>
  </si>
  <si>
    <t>Row Labels</t>
  </si>
  <si>
    <t>Average of 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</si>
</sst>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pivotButton="1"/>
    <xf numFmtId="10" fontId="0" fillId="0" borderId="0" xfId="0" applyNumberFormat="1"/>
    <xf numFmtId="0" fontId="0" fillId="0" borderId="0" xfId="0" applyNumberFormat="1"/>
    <xf numFmtId="0" fontId="0" fillId="2" borderId="1" xfId="0" applyFont="1" applyFill="1" applyBorder="1"/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 applyAlignment="1"/>
    <xf numFmtId="0" fontId="2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4" borderId="1" xfId="0" applyFont="1" applyFill="1" applyBorder="1"/>
    <xf numFmtId="0" fontId="0" fillId="4" borderId="1" xfId="0" applyFont="1" applyFill="1" applyBorder="1" applyAlignment="1">
      <alignment wrapText="1"/>
    </xf>
    <xf numFmtId="0" fontId="0" fillId="4" borderId="1" xfId="0" applyFont="1" applyFill="1" applyBorder="1" applyAlignment="1"/>
    <xf numFmtId="0" fontId="3" fillId="3" borderId="0" xfId="0" applyFont="1" applyFill="1" applyBorder="1"/>
    <xf numFmtId="0" fontId="0" fillId="5" borderId="1" xfId="0" applyFont="1" applyFill="1" applyBorder="1"/>
    <xf numFmtId="0" fontId="0" fillId="6" borderId="1" xfId="0" applyFont="1" applyFill="1" applyBorder="1"/>
    <xf numFmtId="1" fontId="0" fillId="4" borderId="1" xfId="0" applyNumberFormat="1" applyFont="1" applyFill="1" applyBorder="1"/>
    <xf numFmtId="1" fontId="0" fillId="2" borderId="1" xfId="0" applyNumberFormat="1" applyFont="1" applyFill="1" applyBorder="1"/>
    <xf numFmtId="0" fontId="0" fillId="0" borderId="0" xfId="0" applyAlignment="1">
      <alignment horizontal="left"/>
    </xf>
    <xf numFmtId="0" fontId="0" fillId="0" borderId="2" xfId="0" applyBorder="1"/>
    <xf numFmtId="1" fontId="0" fillId="0" borderId="2" xfId="0" applyNumberFormat="1" applyBorder="1"/>
    <xf numFmtId="0" fontId="0" fillId="0" borderId="2" xfId="0" applyBorder="1" applyAlignment="1">
      <alignment horizontal="right"/>
    </xf>
    <xf numFmtId="0" fontId="0" fillId="5" borderId="1" xfId="0" applyNumberFormat="1" applyFont="1" applyFill="1" applyBorder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1"/>
        </top>
        <bottom style="thin">
          <color theme="4" tint="0.39997558519241921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Market Data Analyst project 1.xlsx]Python Demand!PivotTable1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'Python Demand'!$B$3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'Python Demand'!$A$4:$A$6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'Python Demand'!$B$4:$B$6</c:f>
              <c:numCache>
                <c:formatCode>0.00%</c:formatCode>
                <c:ptCount val="2"/>
                <c:pt idx="0">
                  <c:v>0.74</c:v>
                </c:pt>
                <c:pt idx="1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8-4393-818A-14BD09447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2936815"/>
        <c:axId val="912943535"/>
      </c:barChart>
      <c:catAx>
        <c:axId val="91293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943535"/>
        <c:crosses val="autoZero"/>
        <c:auto val="1"/>
        <c:lblAlgn val="ctr"/>
        <c:lblOffset val="100"/>
        <c:noMultiLvlLbl val="0"/>
      </c:catAx>
      <c:valAx>
        <c:axId val="91294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93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Market Data Analyst project 1.xlsx]SQL Demand!PivotTable2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'SQL Demand'!$B$3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'SQL Demand'!$A$4:$A$6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'SQL Demand'!$B$4:$B$6</c:f>
              <c:numCache>
                <c:formatCode>0.00%</c:formatCode>
                <c:ptCount val="2"/>
                <c:pt idx="0">
                  <c:v>0.39</c:v>
                </c:pt>
                <c:pt idx="1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9-4986-A032-67687F2BE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2938735"/>
        <c:axId val="912942575"/>
      </c:barChart>
      <c:catAx>
        <c:axId val="9129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942575"/>
        <c:crosses val="autoZero"/>
        <c:auto val="1"/>
        <c:lblAlgn val="ctr"/>
        <c:lblOffset val="100"/>
        <c:noMultiLvlLbl val="0"/>
      </c:catAx>
      <c:valAx>
        <c:axId val="91294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93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Market Data Analyst project 1.xlsx]Excel Demand!PivotTable3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'Excel Demand'!$B$3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'Excel Demand'!$A$4:$A$6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'Excel Demand'!$B$4:$B$6</c:f>
              <c:numCache>
                <c:formatCode>0.00%</c:formatCode>
                <c:ptCount val="2"/>
                <c:pt idx="0">
                  <c:v>0.38</c:v>
                </c:pt>
                <c:pt idx="1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E-4D89-8FC3-E46E87B1A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603247"/>
        <c:axId val="918605167"/>
      </c:barChart>
      <c:catAx>
        <c:axId val="91860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05167"/>
        <c:crosses val="autoZero"/>
        <c:auto val="1"/>
        <c:lblAlgn val="ctr"/>
        <c:lblOffset val="100"/>
        <c:noMultiLvlLbl val="0"/>
      </c:catAx>
      <c:valAx>
        <c:axId val="91860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0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Market Data Analyst project 1.xlsx]Jobs By City!PivotTable4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</a:t>
            </a:r>
            <a:r>
              <a:rPr lang="en-US" baseline="0"/>
              <a:t> Analyst Jobs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'Jobs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'Jobs By City'!$A$4:$A$33</c:f>
              <c:strCache>
                <c:ptCount val="29"/>
                <c:pt idx="0">
                  <c:v> Fort Worth</c:v>
                </c:pt>
                <c:pt idx="1">
                  <c:v>Abilene</c:v>
                </c:pt>
                <c:pt idx="2">
                  <c:v>Austin</c:v>
                </c:pt>
                <c:pt idx="3">
                  <c:v>Dallas</c:v>
                </c:pt>
                <c:pt idx="4">
                  <c:v>Denton</c:v>
                </c:pt>
                <c:pt idx="5">
                  <c:v>El Paso</c:v>
                </c:pt>
                <c:pt idx="6">
                  <c:v>Fort Worth</c:v>
                </c:pt>
                <c:pt idx="7">
                  <c:v>Frisco</c:v>
                </c:pt>
                <c:pt idx="8">
                  <c:v>Grand Prairie</c:v>
                </c:pt>
                <c:pt idx="9">
                  <c:v>Houston</c:v>
                </c:pt>
                <c:pt idx="10">
                  <c:v>Irving</c:v>
                </c:pt>
                <c:pt idx="11">
                  <c:v>Laredo</c:v>
                </c:pt>
                <c:pt idx="12">
                  <c:v>Round Rock</c:v>
                </c:pt>
                <c:pt idx="13">
                  <c:v>San Antonio</c:v>
                </c:pt>
                <c:pt idx="14">
                  <c:v>Texas City</c:v>
                </c:pt>
                <c:pt idx="15">
                  <c:v> Austin</c:v>
                </c:pt>
                <c:pt idx="16">
                  <c:v>Plano</c:v>
                </c:pt>
                <c:pt idx="17">
                  <c:v>Addison</c:v>
                </c:pt>
                <c:pt idx="18">
                  <c:v>Gregory</c:v>
                </c:pt>
                <c:pt idx="19">
                  <c:v>Amarillo</c:v>
                </c:pt>
                <c:pt idx="20">
                  <c:v>Humble</c:v>
                </c:pt>
                <c:pt idx="21">
                  <c:v>Lewisville</c:v>
                </c:pt>
                <c:pt idx="22">
                  <c:v>San Marcos</c:v>
                </c:pt>
                <c:pt idx="23">
                  <c:v> Addison</c:v>
                </c:pt>
                <c:pt idx="24">
                  <c:v>Richardson</c:v>
                </c:pt>
                <c:pt idx="25">
                  <c:v>Waller</c:v>
                </c:pt>
                <c:pt idx="26">
                  <c:v>Beaumont</c:v>
                </c:pt>
                <c:pt idx="27">
                  <c:v>Westlake</c:v>
                </c:pt>
                <c:pt idx="28">
                  <c:v>Seguin</c:v>
                </c:pt>
              </c:strCache>
            </c:strRef>
          </c:cat>
          <c:val>
            <c:numRef>
              <c:f>'Jobs By City'!$B$4:$B$33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25</c:v>
                </c:pt>
                <c:pt idx="3">
                  <c:v>16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15</c:v>
                </c:pt>
                <c:pt idx="10">
                  <c:v>6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6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76-46F9-B4F0-613652E51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6944287"/>
        <c:axId val="880278511"/>
      </c:barChart>
      <c:catAx>
        <c:axId val="70694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278511"/>
        <c:crosses val="autoZero"/>
        <c:auto val="1"/>
        <c:lblAlgn val="ctr"/>
        <c:lblOffset val="100"/>
        <c:noMultiLvlLbl val="0"/>
      </c:catAx>
      <c:valAx>
        <c:axId val="88027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94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Market Data Analyst project 1.xlsx]Average Salary By City!PivotTable1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Salary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Salary By City'!$A$4:$A$33</c:f>
              <c:strCache>
                <c:ptCount val="29"/>
                <c:pt idx="0">
                  <c:v> Addison</c:v>
                </c:pt>
                <c:pt idx="1">
                  <c:v> Austin</c:v>
                </c:pt>
                <c:pt idx="2">
                  <c:v> Fort Worth</c:v>
                </c:pt>
                <c:pt idx="3">
                  <c:v>Abilene</c:v>
                </c:pt>
                <c:pt idx="4">
                  <c:v>Addison</c:v>
                </c:pt>
                <c:pt idx="5">
                  <c:v>Amarillo</c:v>
                </c:pt>
                <c:pt idx="6">
                  <c:v>Austin</c:v>
                </c:pt>
                <c:pt idx="7">
                  <c:v>Beaumont</c:v>
                </c:pt>
                <c:pt idx="8">
                  <c:v>Dallas</c:v>
                </c:pt>
                <c:pt idx="9">
                  <c:v>Denton</c:v>
                </c:pt>
                <c:pt idx="10">
                  <c:v>El Paso</c:v>
                </c:pt>
                <c:pt idx="11">
                  <c:v>Fort Worth</c:v>
                </c:pt>
                <c:pt idx="12">
                  <c:v>Frisco</c:v>
                </c:pt>
                <c:pt idx="13">
                  <c:v>Grand Prairie</c:v>
                </c:pt>
                <c:pt idx="14">
                  <c:v>Gregory</c:v>
                </c:pt>
                <c:pt idx="15">
                  <c:v>Houston</c:v>
                </c:pt>
                <c:pt idx="16">
                  <c:v>Humble</c:v>
                </c:pt>
                <c:pt idx="17">
                  <c:v>Irving</c:v>
                </c:pt>
                <c:pt idx="18">
                  <c:v>Laredo</c:v>
                </c:pt>
                <c:pt idx="19">
                  <c:v>Lewisville</c:v>
                </c:pt>
                <c:pt idx="20">
                  <c:v>Plano</c:v>
                </c:pt>
                <c:pt idx="21">
                  <c:v>Richardson</c:v>
                </c:pt>
                <c:pt idx="22">
                  <c:v>Round Rock</c:v>
                </c:pt>
                <c:pt idx="23">
                  <c:v>San Antonio</c:v>
                </c:pt>
                <c:pt idx="24">
                  <c:v>San Marcos</c:v>
                </c:pt>
                <c:pt idx="25">
                  <c:v>Seguin</c:v>
                </c:pt>
                <c:pt idx="26">
                  <c:v>Texas City</c:v>
                </c:pt>
                <c:pt idx="27">
                  <c:v>Waller</c:v>
                </c:pt>
                <c:pt idx="28">
                  <c:v>Westlake</c:v>
                </c:pt>
              </c:strCache>
            </c:strRef>
          </c:cat>
          <c:val>
            <c:numRef>
              <c:f>'Average Salary By City'!$B$4:$B$33</c:f>
              <c:numCache>
                <c:formatCode>General</c:formatCode>
                <c:ptCount val="29"/>
                <c:pt idx="0">
                  <c:v>107500</c:v>
                </c:pt>
                <c:pt idx="1">
                  <c:v>68375</c:v>
                </c:pt>
                <c:pt idx="2">
                  <c:v>40320</c:v>
                </c:pt>
                <c:pt idx="3">
                  <c:v>71500</c:v>
                </c:pt>
                <c:pt idx="4">
                  <c:v>89818</c:v>
                </c:pt>
                <c:pt idx="5">
                  <c:v>66913.5</c:v>
                </c:pt>
                <c:pt idx="6">
                  <c:v>75077.2</c:v>
                </c:pt>
                <c:pt idx="7">
                  <c:v>96000</c:v>
                </c:pt>
                <c:pt idx="8">
                  <c:v>56862.25</c:v>
                </c:pt>
                <c:pt idx="9">
                  <c:v>51500</c:v>
                </c:pt>
                <c:pt idx="10">
                  <c:v>47500</c:v>
                </c:pt>
                <c:pt idx="11">
                  <c:v>71475</c:v>
                </c:pt>
                <c:pt idx="12">
                  <c:v>57260</c:v>
                </c:pt>
                <c:pt idx="13">
                  <c:v>91667</c:v>
                </c:pt>
                <c:pt idx="14">
                  <c:v>0</c:v>
                </c:pt>
                <c:pt idx="15">
                  <c:v>68096.03333333334</c:v>
                </c:pt>
                <c:pt idx="16">
                  <c:v>43200</c:v>
                </c:pt>
                <c:pt idx="17">
                  <c:v>60283.333333333336</c:v>
                </c:pt>
                <c:pt idx="18">
                  <c:v>52500</c:v>
                </c:pt>
                <c:pt idx="19">
                  <c:v>67500</c:v>
                </c:pt>
                <c:pt idx="20">
                  <c:v>64112.166666666664</c:v>
                </c:pt>
                <c:pt idx="21">
                  <c:v>72750</c:v>
                </c:pt>
                <c:pt idx="22">
                  <c:v>70000</c:v>
                </c:pt>
                <c:pt idx="23">
                  <c:v>54565</c:v>
                </c:pt>
                <c:pt idx="24">
                  <c:v>48000</c:v>
                </c:pt>
                <c:pt idx="25">
                  <c:v>61400</c:v>
                </c:pt>
                <c:pt idx="26">
                  <c:v>70000</c:v>
                </c:pt>
                <c:pt idx="27">
                  <c:v>84000</c:v>
                </c:pt>
                <c:pt idx="28">
                  <c:v>93500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F-45ED-8ADB-BD4088C38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1647247"/>
        <c:axId val="1232362335"/>
      </c:barChart>
      <c:catAx>
        <c:axId val="106164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362335"/>
        <c:crosses val="autoZero"/>
        <c:auto val="1"/>
        <c:lblAlgn val="ctr"/>
        <c:lblOffset val="100"/>
        <c:noMultiLvlLbl val="0"/>
      </c:catAx>
      <c:valAx>
        <c:axId val="123236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64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Market Data Analyst project 1.xlsx]Jobs By City!PivotTable4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</a:t>
            </a:r>
            <a:r>
              <a:rPr lang="en-US" baseline="0"/>
              <a:t> Analyst Jobs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'Jobs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'Jobs By City'!$A$4:$A$33</c:f>
              <c:strCache>
                <c:ptCount val="29"/>
                <c:pt idx="0">
                  <c:v> Fort Worth</c:v>
                </c:pt>
                <c:pt idx="1">
                  <c:v>Abilene</c:v>
                </c:pt>
                <c:pt idx="2">
                  <c:v>Austin</c:v>
                </c:pt>
                <c:pt idx="3">
                  <c:v>Dallas</c:v>
                </c:pt>
                <c:pt idx="4">
                  <c:v>Denton</c:v>
                </c:pt>
                <c:pt idx="5">
                  <c:v>El Paso</c:v>
                </c:pt>
                <c:pt idx="6">
                  <c:v>Fort Worth</c:v>
                </c:pt>
                <c:pt idx="7">
                  <c:v>Frisco</c:v>
                </c:pt>
                <c:pt idx="8">
                  <c:v>Grand Prairie</c:v>
                </c:pt>
                <c:pt idx="9">
                  <c:v>Houston</c:v>
                </c:pt>
                <c:pt idx="10">
                  <c:v>Irving</c:v>
                </c:pt>
                <c:pt idx="11">
                  <c:v>Laredo</c:v>
                </c:pt>
                <c:pt idx="12">
                  <c:v>Round Rock</c:v>
                </c:pt>
                <c:pt idx="13">
                  <c:v>San Antonio</c:v>
                </c:pt>
                <c:pt idx="14">
                  <c:v>Texas City</c:v>
                </c:pt>
                <c:pt idx="15">
                  <c:v> Austin</c:v>
                </c:pt>
                <c:pt idx="16">
                  <c:v>Plano</c:v>
                </c:pt>
                <c:pt idx="17">
                  <c:v>Addison</c:v>
                </c:pt>
                <c:pt idx="18">
                  <c:v>Gregory</c:v>
                </c:pt>
                <c:pt idx="19">
                  <c:v>Amarillo</c:v>
                </c:pt>
                <c:pt idx="20">
                  <c:v>Humble</c:v>
                </c:pt>
                <c:pt idx="21">
                  <c:v>Lewisville</c:v>
                </c:pt>
                <c:pt idx="22">
                  <c:v>San Marcos</c:v>
                </c:pt>
                <c:pt idx="23">
                  <c:v> Addison</c:v>
                </c:pt>
                <c:pt idx="24">
                  <c:v>Richardson</c:v>
                </c:pt>
                <c:pt idx="25">
                  <c:v>Waller</c:v>
                </c:pt>
                <c:pt idx="26">
                  <c:v>Beaumont</c:v>
                </c:pt>
                <c:pt idx="27">
                  <c:v>Westlake</c:v>
                </c:pt>
                <c:pt idx="28">
                  <c:v>Seguin</c:v>
                </c:pt>
              </c:strCache>
            </c:strRef>
          </c:cat>
          <c:val>
            <c:numRef>
              <c:f>'Jobs By City'!$B$4:$B$33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25</c:v>
                </c:pt>
                <c:pt idx="3">
                  <c:v>16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15</c:v>
                </c:pt>
                <c:pt idx="10">
                  <c:v>6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6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B-471A-BA62-EE79DF385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6944287"/>
        <c:axId val="880278511"/>
      </c:barChart>
      <c:catAx>
        <c:axId val="70694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278511"/>
        <c:crosses val="autoZero"/>
        <c:auto val="1"/>
        <c:lblAlgn val="ctr"/>
        <c:lblOffset val="100"/>
        <c:noMultiLvlLbl val="0"/>
      </c:catAx>
      <c:valAx>
        <c:axId val="88027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94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Market Data Analyst project 1.xlsx]SQL Demand!PivotTable2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SQL</a:t>
            </a:r>
            <a:r>
              <a:rPr lang="en-US" baseline="0"/>
              <a:t> Skill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'SQL Demand'!$B$3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'SQL Demand'!$A$4:$A$6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'SQL Demand'!$B$4:$B$6</c:f>
              <c:numCache>
                <c:formatCode>0.00%</c:formatCode>
                <c:ptCount val="2"/>
                <c:pt idx="0">
                  <c:v>0.39</c:v>
                </c:pt>
                <c:pt idx="1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D-43B5-93A0-129F1AB3B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2938735"/>
        <c:axId val="912942575"/>
      </c:barChart>
      <c:catAx>
        <c:axId val="91293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942575"/>
        <c:crosses val="autoZero"/>
        <c:auto val="1"/>
        <c:lblAlgn val="ctr"/>
        <c:lblOffset val="100"/>
        <c:noMultiLvlLbl val="0"/>
      </c:catAx>
      <c:valAx>
        <c:axId val="91294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93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Market Data Analyst project 1.xlsx]Excel Demand!PivotTable3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Excel</a:t>
            </a:r>
            <a:r>
              <a:rPr lang="en-US" baseline="0"/>
              <a:t> Skill Demand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'Excel Demand'!$B$3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'Excel Demand'!$A$4:$A$6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'Excel Demand'!$B$4:$B$6</c:f>
              <c:numCache>
                <c:formatCode>0.00%</c:formatCode>
                <c:ptCount val="2"/>
                <c:pt idx="0">
                  <c:v>0.38</c:v>
                </c:pt>
                <c:pt idx="1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5-474D-A245-C20C6AAF3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603247"/>
        <c:axId val="918605167"/>
      </c:barChart>
      <c:catAx>
        <c:axId val="91860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05167"/>
        <c:crosses val="autoZero"/>
        <c:auto val="1"/>
        <c:lblAlgn val="ctr"/>
        <c:lblOffset val="100"/>
        <c:noMultiLvlLbl val="0"/>
      </c:catAx>
      <c:valAx>
        <c:axId val="91860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0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Market Data Analyst project 1.xlsx]Python Demand!PivotTable1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Python</a:t>
            </a:r>
            <a:r>
              <a:rPr lang="en-US" baseline="0"/>
              <a:t> Skill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'Python Demand'!$B$3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'Python Demand'!$A$4:$A$6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'Python Demand'!$B$4:$B$6</c:f>
              <c:numCache>
                <c:formatCode>0.00%</c:formatCode>
                <c:ptCount val="2"/>
                <c:pt idx="0">
                  <c:v>0.74</c:v>
                </c:pt>
                <c:pt idx="1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1-4664-8C4C-D93DC121F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2936815"/>
        <c:axId val="912943535"/>
      </c:barChart>
      <c:catAx>
        <c:axId val="91293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943535"/>
        <c:crosses val="autoZero"/>
        <c:auto val="1"/>
        <c:lblAlgn val="ctr"/>
        <c:lblOffset val="100"/>
        <c:noMultiLvlLbl val="0"/>
      </c:catAx>
      <c:valAx>
        <c:axId val="91294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93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[Job Market Data Analyst project 1.xlsx]Average Salary By City!PivotTable1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Salary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Salary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Salary By City'!$A$4:$A$33</c:f>
              <c:strCache>
                <c:ptCount val="29"/>
                <c:pt idx="0">
                  <c:v> Addison</c:v>
                </c:pt>
                <c:pt idx="1">
                  <c:v> Austin</c:v>
                </c:pt>
                <c:pt idx="2">
                  <c:v> Fort Worth</c:v>
                </c:pt>
                <c:pt idx="3">
                  <c:v>Abilene</c:v>
                </c:pt>
                <c:pt idx="4">
                  <c:v>Addison</c:v>
                </c:pt>
                <c:pt idx="5">
                  <c:v>Amarillo</c:v>
                </c:pt>
                <c:pt idx="6">
                  <c:v>Austin</c:v>
                </c:pt>
                <c:pt idx="7">
                  <c:v>Beaumont</c:v>
                </c:pt>
                <c:pt idx="8">
                  <c:v>Dallas</c:v>
                </c:pt>
                <c:pt idx="9">
                  <c:v>Denton</c:v>
                </c:pt>
                <c:pt idx="10">
                  <c:v>El Paso</c:v>
                </c:pt>
                <c:pt idx="11">
                  <c:v>Fort Worth</c:v>
                </c:pt>
                <c:pt idx="12">
                  <c:v>Frisco</c:v>
                </c:pt>
                <c:pt idx="13">
                  <c:v>Grand Prairie</c:v>
                </c:pt>
                <c:pt idx="14">
                  <c:v>Gregory</c:v>
                </c:pt>
                <c:pt idx="15">
                  <c:v>Houston</c:v>
                </c:pt>
                <c:pt idx="16">
                  <c:v>Humble</c:v>
                </c:pt>
                <c:pt idx="17">
                  <c:v>Irving</c:v>
                </c:pt>
                <c:pt idx="18">
                  <c:v>Laredo</c:v>
                </c:pt>
                <c:pt idx="19">
                  <c:v>Lewisville</c:v>
                </c:pt>
                <c:pt idx="20">
                  <c:v>Plano</c:v>
                </c:pt>
                <c:pt idx="21">
                  <c:v>Richardson</c:v>
                </c:pt>
                <c:pt idx="22">
                  <c:v>Round Rock</c:v>
                </c:pt>
                <c:pt idx="23">
                  <c:v>San Antonio</c:v>
                </c:pt>
                <c:pt idx="24">
                  <c:v>San Marcos</c:v>
                </c:pt>
                <c:pt idx="25">
                  <c:v>Seguin</c:v>
                </c:pt>
                <c:pt idx="26">
                  <c:v>Texas City</c:v>
                </c:pt>
                <c:pt idx="27">
                  <c:v>Waller</c:v>
                </c:pt>
                <c:pt idx="28">
                  <c:v>Westlake</c:v>
                </c:pt>
              </c:strCache>
            </c:strRef>
          </c:cat>
          <c:val>
            <c:numRef>
              <c:f>'Average Salary By City'!$B$4:$B$33</c:f>
              <c:numCache>
                <c:formatCode>General</c:formatCode>
                <c:ptCount val="29"/>
                <c:pt idx="0">
                  <c:v>107500</c:v>
                </c:pt>
                <c:pt idx="1">
                  <c:v>68375</c:v>
                </c:pt>
                <c:pt idx="2">
                  <c:v>40320</c:v>
                </c:pt>
                <c:pt idx="3">
                  <c:v>71500</c:v>
                </c:pt>
                <c:pt idx="4">
                  <c:v>89818</c:v>
                </c:pt>
                <c:pt idx="5">
                  <c:v>66913.5</c:v>
                </c:pt>
                <c:pt idx="6">
                  <c:v>75077.2</c:v>
                </c:pt>
                <c:pt idx="7">
                  <c:v>96000</c:v>
                </c:pt>
                <c:pt idx="8">
                  <c:v>56862.25</c:v>
                </c:pt>
                <c:pt idx="9">
                  <c:v>51500</c:v>
                </c:pt>
                <c:pt idx="10">
                  <c:v>47500</c:v>
                </c:pt>
                <c:pt idx="11">
                  <c:v>71475</c:v>
                </c:pt>
                <c:pt idx="12">
                  <c:v>57260</c:v>
                </c:pt>
                <c:pt idx="13">
                  <c:v>91667</c:v>
                </c:pt>
                <c:pt idx="14">
                  <c:v>0</c:v>
                </c:pt>
                <c:pt idx="15">
                  <c:v>68096.03333333334</c:v>
                </c:pt>
                <c:pt idx="16">
                  <c:v>43200</c:v>
                </c:pt>
                <c:pt idx="17">
                  <c:v>60283.333333333336</c:v>
                </c:pt>
                <c:pt idx="18">
                  <c:v>52500</c:v>
                </c:pt>
                <c:pt idx="19">
                  <c:v>67500</c:v>
                </c:pt>
                <c:pt idx="20">
                  <c:v>64112.166666666664</c:v>
                </c:pt>
                <c:pt idx="21">
                  <c:v>72750</c:v>
                </c:pt>
                <c:pt idx="22">
                  <c:v>70000</c:v>
                </c:pt>
                <c:pt idx="23">
                  <c:v>54565</c:v>
                </c:pt>
                <c:pt idx="24">
                  <c:v>48000</c:v>
                </c:pt>
                <c:pt idx="25">
                  <c:v>61400</c:v>
                </c:pt>
                <c:pt idx="26">
                  <c:v>70000</c:v>
                </c:pt>
                <c:pt idx="27">
                  <c:v>84000</c:v>
                </c:pt>
                <c:pt idx="28">
                  <c:v>93500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1-4BE8-B63C-C7CD6E350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1647247"/>
        <c:axId val="1232362335"/>
      </c:barChart>
      <c:catAx>
        <c:axId val="106164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362335"/>
        <c:crosses val="autoZero"/>
        <c:auto val="1"/>
        <c:lblAlgn val="ctr"/>
        <c:lblOffset val="100"/>
        <c:noMultiLvlLbl val="0"/>
      </c:catAx>
      <c:valAx>
        <c:axId val="123236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64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1</xdr:row>
      <xdr:rowOff>185737</xdr:rowOff>
    </xdr:from>
    <xdr:to>
      <xdr:col>12</xdr:col>
      <xdr:colOff>309562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4487EF-B53D-E130-5452-B88494947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1</xdr:row>
      <xdr:rowOff>176212</xdr:rowOff>
    </xdr:from>
    <xdr:to>
      <xdr:col>12</xdr:col>
      <xdr:colOff>319087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A8411E-7227-6F72-669F-F4C0E11BC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2</xdr:row>
      <xdr:rowOff>4762</xdr:rowOff>
    </xdr:from>
    <xdr:to>
      <xdr:col>12</xdr:col>
      <xdr:colOff>309562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EDFF14-C854-5D23-592C-5527DC61E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1290637</xdr:colOff>
      <xdr:row>2</xdr:row>
      <xdr:rowOff>14287</xdr:rowOff>
    </xdr:from>
    <xdr:to>
      <xdr:col>10</xdr:col>
      <xdr:colOff>80962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8EA48-14AC-C32A-83F4-D24320D3A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585787</xdr:colOff>
      <xdr:row>2</xdr:row>
      <xdr:rowOff>4762</xdr:rowOff>
    </xdr:from>
    <xdr:to>
      <xdr:col>12</xdr:col>
      <xdr:colOff>280987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A13B1-F6A3-38F4-0565-4C48F611C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2</xdr:row>
      <xdr:rowOff>19049</xdr:rowOff>
    </xdr:from>
    <xdr:to>
      <xdr:col>9</xdr:col>
      <xdr:colOff>342900</xdr:colOff>
      <xdr:row>15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927110-148B-4347-9060-4086C5A85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257175</xdr:colOff>
      <xdr:row>21</xdr:row>
      <xdr:rowOff>38100</xdr:rowOff>
    </xdr:from>
    <xdr:to>
      <xdr:col>18</xdr:col>
      <xdr:colOff>200025</xdr:colOff>
      <xdr:row>32</xdr:row>
      <xdr:rowOff>104776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F0FF0D-49A0-46C6-B8EF-30E6BBCC0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21</xdr:row>
      <xdr:rowOff>28574</xdr:rowOff>
    </xdr:from>
    <xdr:to>
      <xdr:col>5</xdr:col>
      <xdr:colOff>381000</xdr:colOff>
      <xdr:row>32</xdr:row>
      <xdr:rowOff>114299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B8A057-1294-4046-B3CF-D92BFA07D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390525</xdr:colOff>
      <xdr:row>21</xdr:row>
      <xdr:rowOff>28575</xdr:rowOff>
    </xdr:from>
    <xdr:to>
      <xdr:col>11</xdr:col>
      <xdr:colOff>285750</xdr:colOff>
      <xdr:row>32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09509CC-1E61-45E2-8BF1-B45F7D97A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18</xdr:col>
      <xdr:colOff>85725</xdr:colOff>
      <xdr:row>16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F46C6C7-9287-4723-A1C2-1875D6AB8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Job%20Market%20Data%20Analyst%20project%201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🎮Mkhi🎮 MC" refreshedDate="46105.989387847221" createdVersion="8" refreshedVersion="8" minRefreshableVersion="3" recordCount="100" xr:uid="{7D9E611A-CF55-475E-9612-7E3076C7F821}">
  <cacheSource type="worksheet">
    <worksheetSource ref="A1:I102" sheet="Job Market Data Analyst project" r:id="rId2"/>
  </cacheSource>
  <cacheFields count="9">
    <cacheField name="Job Title" numFmtId="0">
      <sharedItems/>
    </cacheField>
    <cacheField name="Company" numFmtId="0">
      <sharedItems/>
    </cacheField>
    <cacheField name="City" numFmtId="0">
      <sharedItems count="29">
        <s v="Grand Prairie"/>
        <s v="Houston"/>
        <s v=" Fort Worth"/>
        <s v="Irving"/>
        <s v="Dallas"/>
        <s v="Plano"/>
        <s v="Humble"/>
        <s v="Austin"/>
        <s v="Denton"/>
        <s v="Fort Worth"/>
        <s v="San Antonio"/>
        <s v="San Marcos"/>
        <s v="Frisco"/>
        <s v="El Paso"/>
        <s v="Seguin"/>
        <s v="Laredo"/>
        <s v="Richardson"/>
        <s v=" Austin"/>
        <s v="Lewisville"/>
        <s v="Amarillo"/>
        <s v="Abilene"/>
        <s v="Texas City"/>
        <s v="Round Rock"/>
        <s v="Waller"/>
        <s v="Addison"/>
        <s v="Westlake"/>
        <s v=" Addison"/>
        <s v="Beaumont"/>
        <s v="Gregory"/>
      </sharedItems>
    </cacheField>
    <cacheField name="Salary Low" numFmtId="0">
      <sharedItems containsBlank="1" containsMixedTypes="1" containsNumber="1" containsInteger="1" minValue="20000" maxValue="115200"/>
    </cacheField>
    <cacheField name="Salary high" numFmtId="0">
      <sharedItems containsBlank="1" containsMixedTypes="1" containsNumber="1" containsInteger="1" minValue="30000" maxValue="154000"/>
    </cacheField>
    <cacheField name="SQL" numFmtId="0">
      <sharedItems count="2">
        <s v="Yes"/>
        <s v="No"/>
      </sharedItems>
    </cacheField>
    <cacheField name="Python" numFmtId="0">
      <sharedItems count="3">
        <s v="Yes"/>
        <s v="No"/>
        <s v="Yes2" u="1"/>
      </sharedItems>
    </cacheField>
    <cacheField name="Excel" numFmtId="0">
      <sharedItems count="2">
        <s v="No"/>
        <s v="Yes"/>
      </sharedItems>
    </cacheField>
    <cacheField name="Years Experience" numFmtId="0">
      <sharedItems containsMixedTypes="1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🎮Mkhi🎮 MC" refreshedDate="46106.196122222223" createdVersion="8" refreshedVersion="8" minRefreshableVersion="3" recordCount="100" xr:uid="{2AD8F6D4-DC8B-4ACA-8457-FD10C76E67DA}">
  <cacheSource type="worksheet">
    <worksheetSource ref="A2:J101" sheet="Job Market Data Analyst project"/>
  </cacheSource>
  <cacheFields count="10">
    <cacheField name="Job Title" numFmtId="0">
      <sharedItems/>
    </cacheField>
    <cacheField name="Company" numFmtId="0">
      <sharedItems/>
    </cacheField>
    <cacheField name="City" numFmtId="0">
      <sharedItems count="29">
        <s v="Grand Prairie"/>
        <s v="Houston"/>
        <s v=" Fort Worth"/>
        <s v="Irving"/>
        <s v="Dallas"/>
        <s v="Plano"/>
        <s v="Humble"/>
        <s v="Austin"/>
        <s v="Denton"/>
        <s v="Fort Worth"/>
        <s v="San Antonio"/>
        <s v="San Marcos"/>
        <s v="Frisco"/>
        <s v="El Paso"/>
        <s v="Seguin"/>
        <s v="Laredo"/>
        <s v="Richardson"/>
        <s v=" Austin"/>
        <s v="Lewisville"/>
        <s v="Amarillo"/>
        <s v="Abilene"/>
        <s v="Texas City"/>
        <s v="Round Rock"/>
        <s v="Waller"/>
        <s v="Addison"/>
        <s v="Westlake"/>
        <s v=" Addison"/>
        <s v="Beaumont"/>
        <s v="Gregory"/>
      </sharedItems>
    </cacheField>
    <cacheField name="Salary Low" numFmtId="0">
      <sharedItems containsString="0" containsBlank="1" containsNumber="1" containsInteger="1" minValue="20000" maxValue="115200"/>
    </cacheField>
    <cacheField name="Salary High" numFmtId="0">
      <sharedItems containsString="0" containsBlank="1" containsNumber="1" containsInteger="1" minValue="30000" maxValue="154000"/>
    </cacheField>
    <cacheField name="SQL" numFmtId="0">
      <sharedItems/>
    </cacheField>
    <cacheField name="Python" numFmtId="0">
      <sharedItems/>
    </cacheField>
    <cacheField name="Excel" numFmtId="0">
      <sharedItems/>
    </cacheField>
    <cacheField name="Years Experience" numFmtId="0">
      <sharedItems containsSemiMixedTypes="0" containsString="0" containsNumber="1" containsInteger="1" minValue="0" maxValue="4"/>
    </cacheField>
    <cacheField name="Average Salary" numFmtId="0">
      <sharedItems containsSemiMixedTypes="0" containsString="0" containsNumber="1" minValue="0" maxValue="12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Junior Data Analyst"/>
    <s v="Siemens"/>
    <x v="0"/>
    <s v="67544"/>
    <s v="115790"/>
    <x v="0"/>
    <x v="0"/>
    <x v="0"/>
    <s v="3"/>
  </r>
  <r>
    <s v="Associate Data Analyst"/>
    <s v="Agoda"/>
    <x v="1"/>
    <n v="20000"/>
    <n v="30000"/>
    <x v="0"/>
    <x v="0"/>
    <x v="0"/>
    <n v="0"/>
  </r>
  <r>
    <s v="Process Data Analyst- Entry Level"/>
    <s v="DivIHN Integration Inc"/>
    <x v="2"/>
    <n v="40320"/>
    <n v="40320"/>
    <x v="1"/>
    <x v="1"/>
    <x v="1"/>
    <n v="2"/>
  </r>
  <r>
    <s v="Entry level Data Analyst "/>
    <s v="Hyosung Innovue"/>
    <x v="3"/>
    <n v="41600"/>
    <n v="41600"/>
    <x v="1"/>
    <x v="1"/>
    <x v="1"/>
    <n v="0"/>
  </r>
  <r>
    <s v="Data Analyst Junior"/>
    <s v="Viking Power Technologies"/>
    <x v="1"/>
    <n v="38400"/>
    <n v="42240"/>
    <x v="0"/>
    <x v="1"/>
    <x v="0"/>
    <n v="0"/>
  </r>
  <r>
    <s v="Financial Analyst"/>
    <s v="Russell Tobin"/>
    <x v="4"/>
    <n v="47840"/>
    <n v="47840"/>
    <x v="1"/>
    <x v="1"/>
    <x v="1"/>
    <n v="0"/>
  </r>
  <r>
    <s v="Entry Level Data Analyst"/>
    <s v="MSIT"/>
    <x v="5"/>
    <n v="25000"/>
    <n v="48000"/>
    <x v="0"/>
    <x v="0"/>
    <x v="0"/>
    <n v="0"/>
  </r>
  <r>
    <s v="Data Analyst"/>
    <s v="TOYO Solar Texas LLC"/>
    <x v="6"/>
    <n v="38400"/>
    <n v="48000"/>
    <x v="1"/>
    <x v="1"/>
    <x v="1"/>
    <n v="0"/>
  </r>
  <r>
    <s v="Entry Level Casting Admin &amp; Data Analyst"/>
    <s v="Shop LC"/>
    <x v="7"/>
    <n v="37440"/>
    <n v="50544"/>
    <x v="1"/>
    <x v="1"/>
    <x v="1"/>
    <n v="0"/>
  </r>
  <r>
    <s v=" Associate Business Analyst"/>
    <s v="Advantage Solutions"/>
    <x v="4"/>
    <n v="42240"/>
    <n v="51840"/>
    <x v="1"/>
    <x v="1"/>
    <x v="0"/>
    <n v="0"/>
  </r>
  <r>
    <s v="Data Analyst "/>
    <s v="University of North Texas System"/>
    <x v="8"/>
    <n v="51000"/>
    <n v="52000"/>
    <x v="0"/>
    <x v="1"/>
    <x v="1"/>
    <n v="1"/>
  </r>
  <r>
    <s v="Energy Analyst I"/>
    <s v="Tarrant Regional Water District"/>
    <x v="9"/>
    <n v="53400"/>
    <n v="53400"/>
    <x v="0"/>
    <x v="1"/>
    <x v="1"/>
    <n v="0"/>
  </r>
  <r>
    <s v="Revenue Data Analyst"/>
    <s v="Private Label Staff"/>
    <x v="5"/>
    <n v="44000"/>
    <n v="54000"/>
    <x v="1"/>
    <x v="1"/>
    <x v="1"/>
    <n v="0"/>
  </r>
  <r>
    <s v="Financial Analyst I"/>
    <s v="The Exchange"/>
    <x v="4"/>
    <n v="54533"/>
    <n v="54533"/>
    <x v="0"/>
    <x v="1"/>
    <x v="1"/>
    <n v="3"/>
  </r>
  <r>
    <s v="Junior Retail Data Analyst"/>
    <s v="DetaPent"/>
    <x v="4"/>
    <n v="46000"/>
    <n v="56000"/>
    <x v="0"/>
    <x v="1"/>
    <x v="1"/>
    <n v="0"/>
  </r>
  <r>
    <s v="Research Analyst I"/>
    <s v="North East Independent School District"/>
    <x v="10"/>
    <n v="42000"/>
    <n v="56000"/>
    <x v="0"/>
    <x v="1"/>
    <x v="1"/>
    <n v="4"/>
  </r>
  <r>
    <s v="Data Entry Analyst"/>
    <s v="Swoon Staffing"/>
    <x v="1"/>
    <n v="41000"/>
    <n v="56200"/>
    <x v="1"/>
    <x v="1"/>
    <x v="1"/>
    <n v="0"/>
  </r>
  <r>
    <s v="Technology Data Analytics"/>
    <s v="LPL Financial"/>
    <x v="7"/>
    <n v="48000"/>
    <n v="57600"/>
    <x v="1"/>
    <x v="1"/>
    <x v="0"/>
    <n v="0"/>
  </r>
  <r>
    <s v="Python Data Analyst"/>
    <s v="The Elite Job"/>
    <x v="11"/>
    <n v="38400"/>
    <n v="57600"/>
    <x v="0"/>
    <x v="0"/>
    <x v="0"/>
    <n v="0"/>
  </r>
  <r>
    <s v="Data Analyst Contractor"/>
    <s v="Ultimate Staffing"/>
    <x v="7"/>
    <n v="57849"/>
    <n v="57849"/>
    <x v="1"/>
    <x v="1"/>
    <x v="1"/>
    <n v="0"/>
  </r>
  <r>
    <s v="Data Analytics Consumer Care"/>
    <s v="Keurig Dr Pepper, Inc."/>
    <x v="12"/>
    <n v="55000"/>
    <n v="59520"/>
    <x v="1"/>
    <x v="1"/>
    <x v="1"/>
    <n v="0"/>
  </r>
  <r>
    <s v="Junior Data Analyst"/>
    <s v="Arsenault"/>
    <x v="4"/>
    <n v="50000"/>
    <n v="60000"/>
    <x v="1"/>
    <x v="1"/>
    <x v="0"/>
    <n v="2"/>
  </r>
  <r>
    <s v="Junior Data Analytics Engineer"/>
    <s v="Simplex"/>
    <x v="7"/>
    <n v="50000"/>
    <n v="60000"/>
    <x v="0"/>
    <x v="0"/>
    <x v="0"/>
    <n v="2"/>
  </r>
  <r>
    <s v="Junior Data Analyst"/>
    <s v="Steampunk"/>
    <x v="13"/>
    <n v="35000"/>
    <n v="60000"/>
    <x v="1"/>
    <x v="1"/>
    <x v="1"/>
    <n v="3"/>
  </r>
  <r>
    <s v="Entry Level Interface Analyst"/>
    <s v="Greater Houston Healthconnect"/>
    <x v="1"/>
    <n v="40000"/>
    <n v="60000"/>
    <x v="0"/>
    <x v="0"/>
    <x v="0"/>
    <n v="0"/>
  </r>
  <r>
    <s v="Provider Pricing Analyst"/>
    <s v="University Health San Antonio"/>
    <x v="10"/>
    <n v="38016"/>
    <n v="60000"/>
    <x v="0"/>
    <x v="1"/>
    <x v="0"/>
    <n v="1"/>
  </r>
  <r>
    <s v="Compliance Analyst I"/>
    <s v="Office of Attorney General District of Columbia"/>
    <x v="7"/>
    <n v="48000"/>
    <n v="60000"/>
    <x v="1"/>
    <x v="1"/>
    <x v="1"/>
    <n v="2"/>
  </r>
  <r>
    <s v="Pricing Analyst"/>
    <s v="Insight Global"/>
    <x v="9"/>
    <n v="45000"/>
    <n v="60000"/>
    <x v="1"/>
    <x v="1"/>
    <x v="1"/>
    <n v="3"/>
  </r>
  <r>
    <s v="Marketing Analyst"/>
    <s v="GVEC"/>
    <x v="14"/>
    <n v="61400"/>
    <n v="61400"/>
    <x v="1"/>
    <x v="1"/>
    <x v="1"/>
    <n v="0"/>
  </r>
  <r>
    <s v="Asset Protection Data Analyst"/>
    <s v="Solomon Page"/>
    <x v="4"/>
    <n v="61440"/>
    <n v="61440"/>
    <x v="1"/>
    <x v="1"/>
    <x v="1"/>
    <n v="2"/>
  </r>
  <r>
    <s v="Entry Level Data Analyst"/>
    <s v="Upen Group Inc"/>
    <x v="3"/>
    <n v="42000"/>
    <n v="62000"/>
    <x v="0"/>
    <x v="1"/>
    <x v="1"/>
    <n v="0"/>
  </r>
  <r>
    <s v="Tax Data Analyst"/>
    <s v="Dexian"/>
    <x v="10"/>
    <n v="58000"/>
    <n v="62400"/>
    <x v="0"/>
    <x v="1"/>
    <x v="0"/>
    <n v="0"/>
  </r>
  <r>
    <s v="Hybrid HR  Payroll Data Analyst"/>
    <s v="PrimeSource Building Products"/>
    <x v="3"/>
    <n v="52000"/>
    <n v="62400"/>
    <x v="1"/>
    <x v="1"/>
    <x v="0"/>
    <n v="0"/>
  </r>
  <r>
    <s v="SQL Server Data Analyst"/>
    <s v="VirtualVocations"/>
    <x v="15"/>
    <n v="42000"/>
    <n v="63000"/>
    <x v="0"/>
    <x v="1"/>
    <x v="0"/>
    <n v="2"/>
  </r>
  <r>
    <s v="Data Analyst"/>
    <s v="Stirista LLC"/>
    <x v="10"/>
    <n v="55104"/>
    <n v="65000"/>
    <x v="0"/>
    <x v="1"/>
    <x v="1"/>
    <n v="0"/>
  </r>
  <r>
    <s v="Data &amp; Technology Analyst"/>
    <s v="University of Texas at Dallas"/>
    <x v="16"/>
    <n v="65000"/>
    <n v="65000"/>
    <x v="1"/>
    <x v="1"/>
    <x v="1"/>
    <n v="3"/>
  </r>
  <r>
    <s v="DATA ANALYST"/>
    <s v="AaraTech Inc"/>
    <x v="4"/>
    <n v="65000"/>
    <n v="65000"/>
    <x v="0"/>
    <x v="1"/>
    <x v="1"/>
    <n v="1"/>
  </r>
  <r>
    <s v="Data Analyst Intern"/>
    <s v="Abb Holdings Inc"/>
    <x v="1"/>
    <n v="38400"/>
    <n v="65280"/>
    <x v="1"/>
    <x v="1"/>
    <x v="1"/>
    <n v="0"/>
  </r>
  <r>
    <s v="Entry Level Data Analyst"/>
    <s v="CCS Global Tech"/>
    <x v="17"/>
    <n v="66000"/>
    <n v="67500"/>
    <x v="0"/>
    <x v="1"/>
    <x v="0"/>
    <n v="1"/>
  </r>
  <r>
    <s v="Business Analyst"/>
    <s v="Business Analyst"/>
    <x v="5"/>
    <n v="68723"/>
    <n v="68723"/>
    <x v="0"/>
    <x v="1"/>
    <x v="1"/>
    <n v="1"/>
  </r>
  <r>
    <s v="Data Analyst 1"/>
    <s v="Elevait Solutions"/>
    <x v="9"/>
    <n v="50000"/>
    <n v="70000"/>
    <x v="1"/>
    <x v="1"/>
    <x v="1"/>
    <n v="2"/>
  </r>
  <r>
    <s v="Developer Analyst 1"/>
    <s v="MMC Group"/>
    <x v="7"/>
    <n v="53600"/>
    <n v="70000"/>
    <x v="0"/>
    <x v="1"/>
    <x v="1"/>
    <n v="3"/>
  </r>
  <r>
    <s v="Jr Media Analyst"/>
    <s v="Acosta Group"/>
    <x v="18"/>
    <n v="65000"/>
    <n v="70000"/>
    <x v="1"/>
    <x v="1"/>
    <x v="1"/>
    <n v="1"/>
  </r>
  <r>
    <s v="Automation and Analytics Specialist"/>
    <s v="Scott and Associates"/>
    <x v="5"/>
    <n v="50000"/>
    <n v="70000"/>
    <x v="0"/>
    <x v="0"/>
    <x v="0"/>
    <n v="0"/>
  </r>
  <r>
    <s v="Revenue Cycle Analyst"/>
    <s v="NorthStar Anesthesia"/>
    <x v="3"/>
    <n v="51000"/>
    <n v="71000"/>
    <x v="0"/>
    <x v="1"/>
    <x v="1"/>
    <n v="2"/>
  </r>
  <r>
    <s v="Data Analytics Intern"/>
    <s v="Cloudflare"/>
    <x v="7"/>
    <n v="42000"/>
    <n v="73000"/>
    <x v="0"/>
    <x v="0"/>
    <x v="0"/>
    <n v="0"/>
  </r>
  <r>
    <s v="Reporting Analyst"/>
    <s v="TUCO Inc "/>
    <x v="19"/>
    <n v="60712"/>
    <n v="73115"/>
    <x v="1"/>
    <x v="1"/>
    <x v="1"/>
    <n v="0"/>
  </r>
  <r>
    <s v="Analyst Consultant"/>
    <s v="NewGen Strategies &amp; Solutions"/>
    <x v="7"/>
    <n v="65000"/>
    <n v="75000"/>
    <x v="0"/>
    <x v="0"/>
    <x v="1"/>
    <n v="1"/>
  </r>
  <r>
    <s v="Business Analyst"/>
    <s v="_x000a_HMG AMERICA LLC "/>
    <x v="7"/>
    <n v="76800"/>
    <n v="76800"/>
    <x v="0"/>
    <x v="1"/>
    <x v="0"/>
    <n v="0"/>
  </r>
  <r>
    <s v="Finance Analyst 1"/>
    <s v="Kiewit Corporation"/>
    <x v="20"/>
    <n v="66000"/>
    <n v="77000"/>
    <x v="0"/>
    <x v="1"/>
    <x v="1"/>
    <n v="0"/>
  </r>
  <r>
    <s v="Data Analyst-Entry Level "/>
    <s v="Emonics"/>
    <x v="4"/>
    <n v="65786"/>
    <n v="79000"/>
    <x v="0"/>
    <x v="0"/>
    <x v="1"/>
    <n v="0"/>
  </r>
  <r>
    <s v="Analyst 1 Data Analysis and Operations"/>
    <s v=" Houston Independent School District"/>
    <x v="1"/>
    <n v="60000"/>
    <n v="80000"/>
    <x v="0"/>
    <x v="0"/>
    <x v="1"/>
    <n v="1"/>
  </r>
  <r>
    <s v="Junior Master Data Analyst"/>
    <s v="Remote Career"/>
    <x v="21"/>
    <n v="60000"/>
    <n v="80000"/>
    <x v="0"/>
    <x v="0"/>
    <x v="0"/>
    <n v="0"/>
  </r>
  <r>
    <s v="Growth Analytics Associate"/>
    <s v="Rugiet Health"/>
    <x v="17"/>
    <n v="60000"/>
    <n v="80000"/>
    <x v="0"/>
    <x v="1"/>
    <x v="0"/>
    <n v="1"/>
  </r>
  <r>
    <s v="Junior Data Analyst"/>
    <s v="DetaPent"/>
    <x v="1"/>
    <n v="60000"/>
    <n v="80000"/>
    <x v="0"/>
    <x v="1"/>
    <x v="1"/>
    <n v="0"/>
  </r>
  <r>
    <s v="Trade Entry Analyst"/>
    <s v="Gunvor"/>
    <x v="1"/>
    <n v="70000"/>
    <n v="80000"/>
    <x v="1"/>
    <x v="1"/>
    <x v="1"/>
    <n v="0"/>
  </r>
  <r>
    <s v="Payer Data Analyst"/>
    <s v="Senderra Specialty Pharmacy"/>
    <x v="4"/>
    <n v="80000"/>
    <n v="80000"/>
    <x v="0"/>
    <x v="1"/>
    <x v="1"/>
    <n v="2"/>
  </r>
  <r>
    <s v="Analyst 1"/>
    <s v="Houston Independent School District"/>
    <x v="1"/>
    <n v="60000"/>
    <n v="80000"/>
    <x v="0"/>
    <x v="1"/>
    <x v="1"/>
    <n v="3"/>
  </r>
  <r>
    <s v=" Growth Analytics Associate"/>
    <s v="Rugiet Health"/>
    <x v="7"/>
    <n v="60000"/>
    <n v="80000"/>
    <x v="0"/>
    <x v="1"/>
    <x v="0"/>
    <n v="1"/>
  </r>
  <r>
    <s v="Data Analyst"/>
    <s v="Codersdata"/>
    <x v="4"/>
    <n v="70000"/>
    <n v="80000"/>
    <x v="0"/>
    <x v="0"/>
    <x v="0"/>
    <n v="0"/>
  </r>
  <r>
    <s v="Marketing Analyst "/>
    <s v="Bimbo Bakeries USA"/>
    <x v="3"/>
    <n v="64700"/>
    <n v="84100"/>
    <x v="1"/>
    <x v="1"/>
    <x v="1"/>
    <n v="0"/>
  </r>
  <r>
    <s v="Budget Analyst"/>
    <s v="Legislative Budget Board"/>
    <x v="7"/>
    <n v="50000"/>
    <n v="85000"/>
    <x v="1"/>
    <x v="1"/>
    <x v="1"/>
    <n v="2"/>
  </r>
  <r>
    <s v="Data Analyst"/>
    <s v="Texas Workforce Commission"/>
    <x v="7"/>
    <n v="75480"/>
    <n v="85392"/>
    <x v="0"/>
    <x v="1"/>
    <x v="1"/>
    <n v="3"/>
  </r>
  <r>
    <s v="Performance Data Analyst"/>
    <s v="Texas HHSC, Texas DSHS And Texas DFPS"/>
    <x v="7"/>
    <n v="65104"/>
    <n v="85869"/>
    <x v="0"/>
    <x v="0"/>
    <x v="1"/>
    <n v="2"/>
  </r>
  <r>
    <s v="Specialist Analytics and Insights"/>
    <s v="Gartner"/>
    <x v="3"/>
    <n v="64000"/>
    <n v="87000"/>
    <x v="1"/>
    <x v="1"/>
    <x v="1"/>
    <n v="1"/>
  </r>
  <r>
    <s v="Business Process Delivery Analyst"/>
    <s v="Accenture"/>
    <x v="7"/>
    <n v="61000"/>
    <n v="87000"/>
    <x v="1"/>
    <x v="1"/>
    <x v="1"/>
    <n v="0"/>
  </r>
  <r>
    <s v="Reimbursement Analyst I"/>
    <s v="Texas Health and Human Services Commission"/>
    <x v="7"/>
    <n v="54283"/>
    <n v="87045"/>
    <x v="0"/>
    <x v="0"/>
    <x v="1"/>
    <n v="0"/>
  </r>
  <r>
    <s v="Insights Analyst"/>
    <s v="Meltwater"/>
    <x v="7"/>
    <n v="67000"/>
    <n v="89000"/>
    <x v="1"/>
    <x v="1"/>
    <x v="1"/>
    <n v="0"/>
  </r>
  <r>
    <s v="Data Analyst"/>
    <s v="TechDigital Group"/>
    <x v="22"/>
    <n v="50000"/>
    <n v="90000"/>
    <x v="1"/>
    <x v="1"/>
    <x v="0"/>
    <n v="0"/>
  </r>
  <r>
    <s v="Compensation Analyst"/>
    <s v="Lennox"/>
    <x v="16"/>
    <n v="70000"/>
    <n v="91000"/>
    <x v="1"/>
    <x v="1"/>
    <x v="1"/>
    <n v="1"/>
  </r>
  <r>
    <s v="IT Financial Analyst I"/>
    <s v="Texas Association of School Boards"/>
    <x v="7"/>
    <n v="59000"/>
    <n v="92000"/>
    <x v="1"/>
    <x v="1"/>
    <x v="1"/>
    <n v="3"/>
  </r>
  <r>
    <s v="ECI Data and Report Analyst"/>
    <s v="Texas HHSC, Texas DSHS And Texas DFPS"/>
    <x v="7"/>
    <n v="57612"/>
    <n v="93132"/>
    <x v="0"/>
    <x v="1"/>
    <x v="1"/>
    <n v="2"/>
  </r>
  <r>
    <s v="Actuarial Analyst"/>
    <s v="Texas Mutual Insurance Company"/>
    <x v="7"/>
    <n v="77000"/>
    <n v="95000"/>
    <x v="1"/>
    <x v="1"/>
    <x v="1"/>
    <n v="0"/>
  </r>
  <r>
    <s v="Data Modeler 1"/>
    <s v=" Daiken Comfort"/>
    <x v="23"/>
    <n v="73000"/>
    <n v="95000"/>
    <x v="0"/>
    <x v="1"/>
    <x v="1"/>
    <n v="1"/>
  </r>
  <r>
    <s v="Digital Performance Analyst"/>
    <s v="SoTalent"/>
    <x v="1"/>
    <n v="64200"/>
    <n v="96200"/>
    <x v="0"/>
    <x v="1"/>
    <x v="0"/>
    <n v="2"/>
  </r>
  <r>
    <s v="Business Analyst I, Category Pricing"/>
    <s v="Amazon"/>
    <x v="7"/>
    <n v="55800"/>
    <n v="97600"/>
    <x v="0"/>
    <x v="1"/>
    <x v="0"/>
    <n v="2"/>
  </r>
  <r>
    <s v="Jr HRIS Analyst"/>
    <s v="Jobs via Dice"/>
    <x v="24"/>
    <n v="78757"/>
    <n v="100879"/>
    <x v="0"/>
    <x v="1"/>
    <x v="0"/>
    <n v="1"/>
  </r>
  <r>
    <s v="Short Term Planning Analyst"/>
    <s v="Robinhood"/>
    <x v="25"/>
    <n v="86000"/>
    <n v="101000"/>
    <x v="0"/>
    <x v="0"/>
    <x v="1"/>
    <n v="1"/>
  </r>
  <r>
    <s v="Entry Level Data Analyst"/>
    <s v="RocketSauce Media Labs"/>
    <x v="5"/>
    <n v="57500"/>
    <n v="103400"/>
    <x v="0"/>
    <x v="1"/>
    <x v="1"/>
    <n v="0"/>
  </r>
  <r>
    <s v="Data Analyst "/>
    <s v="Lensa"/>
    <x v="4"/>
    <n v="57100"/>
    <n v="104000"/>
    <x v="0"/>
    <x v="0"/>
    <x v="0"/>
    <n v="0"/>
  </r>
  <r>
    <s v="Technical Analyst  Entry Level"/>
    <s v="Lensa"/>
    <x v="7"/>
    <n v="57100"/>
    <n v="104000"/>
    <x v="0"/>
    <x v="0"/>
    <x v="0"/>
    <n v="0"/>
  </r>
  <r>
    <s v="Jr Data Analyst"/>
    <s v="Twelve Labs"/>
    <x v="1"/>
    <n v="106000"/>
    <n v="107000"/>
    <x v="0"/>
    <x v="0"/>
    <x v="1"/>
    <n v="1"/>
  </r>
  <r>
    <s v="Entry Level Data Analyst"/>
    <s v="Atechstar"/>
    <x v="4"/>
    <n v="107000"/>
    <n v="108000"/>
    <x v="0"/>
    <x v="0"/>
    <x v="0"/>
    <n v="0"/>
  </r>
  <r>
    <s v="Quant Analytics"/>
    <s v="Hackajob"/>
    <x v="5"/>
    <n v="70000"/>
    <n v="110000"/>
    <x v="0"/>
    <x v="0"/>
    <x v="0"/>
    <n v="2"/>
  </r>
  <r>
    <s v="Workday Systems Analyst"/>
    <s v="Prestige Staffing"/>
    <x v="26"/>
    <n v="95000"/>
    <n v="120000"/>
    <x v="0"/>
    <x v="0"/>
    <x v="0"/>
    <n v="0"/>
  </r>
  <r>
    <s v="Analyst, Commercial Analysis"/>
    <s v="RWE"/>
    <x v="7"/>
    <n v="110000"/>
    <n v="120000"/>
    <x v="0"/>
    <x v="0"/>
    <x v="1"/>
    <n v="0"/>
  </r>
  <r>
    <s v="Entry Level Data Scientist/Analyst"/>
    <s v="SynergisticIT"/>
    <x v="7"/>
    <n v="80000"/>
    <n v="121000"/>
    <x v="1"/>
    <x v="0"/>
    <x v="0"/>
    <n v="0"/>
  </r>
  <r>
    <s v="Mechanical Data Analyst"/>
    <s v="Experis"/>
    <x v="27"/>
    <n v="71000"/>
    <n v="121000"/>
    <x v="0"/>
    <x v="1"/>
    <x v="1"/>
    <n v="3"/>
  </r>
  <r>
    <s v="Digital Analyst "/>
    <s v="SGS Consulting"/>
    <x v="9"/>
    <n v="115200"/>
    <n v="124800"/>
    <x v="0"/>
    <x v="1"/>
    <x v="0"/>
    <n v="1"/>
  </r>
  <r>
    <s v="Entry Level Business Analyst"/>
    <s v="National Software Management"/>
    <x v="7"/>
    <n v="74017"/>
    <n v="124944"/>
    <x v="1"/>
    <x v="1"/>
    <x v="0"/>
    <n v="0"/>
  </r>
  <r>
    <s v="Entry Level Business Analyst"/>
    <s v="National Software management"/>
    <x v="1"/>
    <n v="74017"/>
    <n v="124944"/>
    <x v="1"/>
    <x v="1"/>
    <x v="0"/>
    <n v="0"/>
  </r>
  <r>
    <s v="Analyst I  Merchant Risk"/>
    <s v="Affirm"/>
    <x v="1"/>
    <n v="102000"/>
    <n v="142000"/>
    <x v="0"/>
    <x v="0"/>
    <x v="0"/>
    <n v="0"/>
  </r>
  <r>
    <s v="Data Analyst"/>
    <s v="Hudson Manpower"/>
    <x v="1"/>
    <n v="75000"/>
    <n v="150000"/>
    <x v="0"/>
    <x v="1"/>
    <x v="1"/>
    <n v="1"/>
  </r>
  <r>
    <s v="Data Analyst"/>
    <s v="Wandata Tech"/>
    <x v="4"/>
    <n v="75000"/>
    <n v="150000"/>
    <x v="1"/>
    <x v="1"/>
    <x v="1"/>
    <n v="1"/>
  </r>
  <r>
    <s v="Entry Level Data Analyst/Engineer"/>
    <s v="Synergistic it"/>
    <x v="7"/>
    <n v="90000"/>
    <n v="154000"/>
    <x v="1"/>
    <x v="0"/>
    <x v="0"/>
    <n v="0"/>
  </r>
  <r>
    <s v="Jr Data Analyst"/>
    <s v="Guru Schools"/>
    <x v="4"/>
    <m/>
    <m/>
    <x v="0"/>
    <x v="1"/>
    <x v="0"/>
    <n v="0"/>
  </r>
  <r>
    <s v="Junior Data Analyst"/>
    <s v="Codevista Solutions"/>
    <x v="4"/>
    <m/>
    <m/>
    <x v="0"/>
    <x v="1"/>
    <x v="1"/>
    <n v="0"/>
  </r>
  <r>
    <s v="Junior Data Analyst"/>
    <s v="Codevista Solutions"/>
    <x v="4"/>
    <m/>
    <m/>
    <x v="0"/>
    <x v="1"/>
    <x v="1"/>
    <n v="0"/>
  </r>
  <r>
    <s v="Data Analyst"/>
    <s v="Raise"/>
    <x v="28"/>
    <m/>
    <m/>
    <x v="0"/>
    <x v="1"/>
    <x v="1"/>
    <n v="0"/>
  </r>
  <r>
    <s v="Associate Analyst Division Order"/>
    <s v="Energy Transfer Partners"/>
    <x v="1"/>
    <m/>
    <m/>
    <x v="1"/>
    <x v="1"/>
    <x v="1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Junior Data Analyst"/>
    <s v="Siemens"/>
    <x v="0"/>
    <n v="67544"/>
    <n v="115790"/>
    <s v="Yes"/>
    <s v="Yes"/>
    <s v="No"/>
    <n v="3"/>
    <n v="91667"/>
  </r>
  <r>
    <s v="Associate Data Analyst"/>
    <s v="Agoda"/>
    <x v="1"/>
    <n v="20000"/>
    <n v="30000"/>
    <s v="Yes"/>
    <s v="Yes"/>
    <s v="No"/>
    <n v="0"/>
    <n v="25000"/>
  </r>
  <r>
    <s v="Process Data Analyst- Entry Level"/>
    <s v="DivIHN Integration Inc"/>
    <x v="2"/>
    <n v="40320"/>
    <n v="40320"/>
    <s v="No"/>
    <s v="No"/>
    <s v="Yes"/>
    <n v="2"/>
    <n v="40320"/>
  </r>
  <r>
    <s v="Entry level Data Analyst "/>
    <s v="Hyosung Innovue"/>
    <x v="3"/>
    <n v="41600"/>
    <n v="41600"/>
    <s v="No"/>
    <s v="No"/>
    <s v="Yes"/>
    <n v="0"/>
    <n v="41600"/>
  </r>
  <r>
    <s v="Data Analyst Junior"/>
    <s v="Viking Power Technologies"/>
    <x v="1"/>
    <n v="38400"/>
    <n v="42240"/>
    <s v="Yes"/>
    <s v="No"/>
    <s v="No"/>
    <n v="0"/>
    <n v="40320"/>
  </r>
  <r>
    <s v="Financial Analyst"/>
    <s v="Russell Tobin"/>
    <x v="4"/>
    <n v="47840"/>
    <n v="47840"/>
    <s v="No"/>
    <s v="No"/>
    <s v="Yes"/>
    <n v="0"/>
    <n v="47840"/>
  </r>
  <r>
    <s v="Entry Level Data Analyst"/>
    <s v="MSIT"/>
    <x v="5"/>
    <n v="25000"/>
    <n v="48000"/>
    <s v="Yes"/>
    <s v="Yes"/>
    <s v="No"/>
    <n v="0"/>
    <n v="36500"/>
  </r>
  <r>
    <s v="Data Analyst"/>
    <s v="TOYO Solar Texas LLC"/>
    <x v="6"/>
    <n v="38400"/>
    <n v="48000"/>
    <s v="No"/>
    <s v="No"/>
    <s v="Yes"/>
    <n v="0"/>
    <n v="43200"/>
  </r>
  <r>
    <s v="Entry Level Casting Admin &amp; Data Analyst"/>
    <s v="Shop LC"/>
    <x v="7"/>
    <n v="37440"/>
    <n v="50544"/>
    <s v="No"/>
    <s v="No"/>
    <s v="Yes"/>
    <n v="0"/>
    <n v="43992"/>
  </r>
  <r>
    <s v=" Associate Business Analyst"/>
    <s v="Advantage Solutions"/>
    <x v="4"/>
    <n v="42240"/>
    <n v="51840"/>
    <s v="No"/>
    <s v="No"/>
    <s v="No"/>
    <n v="0"/>
    <n v="47040"/>
  </r>
  <r>
    <s v="Data Analyst "/>
    <s v="University of North Texas System"/>
    <x v="8"/>
    <n v="51000"/>
    <n v="52000"/>
    <s v="Yes"/>
    <s v="No"/>
    <s v="Yes"/>
    <n v="1"/>
    <n v="51500"/>
  </r>
  <r>
    <s v="Energy Analyst I"/>
    <s v="Tarrant Regional Water District"/>
    <x v="9"/>
    <n v="53400"/>
    <n v="53400"/>
    <s v="Yes"/>
    <s v="No"/>
    <s v="Yes"/>
    <n v="0"/>
    <n v="53400"/>
  </r>
  <r>
    <s v="Revenue Data Analyst"/>
    <s v="Private Label Staff"/>
    <x v="5"/>
    <n v="44000"/>
    <n v="54000"/>
    <s v="No"/>
    <s v="No"/>
    <s v="Yes"/>
    <n v="0"/>
    <n v="49000"/>
  </r>
  <r>
    <s v="Financial Analyst I"/>
    <s v="The Exchange"/>
    <x v="4"/>
    <n v="54533"/>
    <n v="54533"/>
    <s v="Yes"/>
    <s v="No"/>
    <s v="Yes"/>
    <n v="3"/>
    <n v="54533"/>
  </r>
  <r>
    <s v="Junior Retail Data Analyst"/>
    <s v="DetaPent"/>
    <x v="4"/>
    <n v="46000"/>
    <n v="56000"/>
    <s v="Yes"/>
    <s v="No"/>
    <s v="Yes"/>
    <n v="0"/>
    <n v="51000"/>
  </r>
  <r>
    <s v="Research Analyst I"/>
    <s v="North East Independent School District"/>
    <x v="10"/>
    <n v="42000"/>
    <n v="56000"/>
    <s v="Yes"/>
    <s v="No"/>
    <s v="Yes"/>
    <n v="4"/>
    <n v="49000"/>
  </r>
  <r>
    <s v="Data Entry Analyst"/>
    <s v="Swoon Staffing"/>
    <x v="1"/>
    <n v="41000"/>
    <n v="56200"/>
    <s v="No"/>
    <s v="No"/>
    <s v="Yes"/>
    <n v="0"/>
    <n v="48600"/>
  </r>
  <r>
    <s v="Technology Data Analytics"/>
    <s v="LPL Financial"/>
    <x v="7"/>
    <n v="48000"/>
    <n v="57600"/>
    <s v="No"/>
    <s v="No"/>
    <s v="No"/>
    <n v="0"/>
    <n v="52800"/>
  </r>
  <r>
    <s v="Python Data Analyst"/>
    <s v="The Elite Job"/>
    <x v="11"/>
    <n v="38400"/>
    <n v="57600"/>
    <s v="Yes"/>
    <s v="Yes"/>
    <s v="No"/>
    <n v="0"/>
    <n v="48000"/>
  </r>
  <r>
    <s v="Data Analyst Contractor"/>
    <s v="Ultimate Staffing"/>
    <x v="7"/>
    <n v="57849"/>
    <n v="57849"/>
    <s v="No"/>
    <s v="No"/>
    <s v="Yes"/>
    <n v="0"/>
    <n v="57849"/>
  </r>
  <r>
    <s v="Data Analytics Consumer Care"/>
    <s v="Keurig Dr Pepper, Inc."/>
    <x v="12"/>
    <n v="55000"/>
    <n v="59520"/>
    <s v="No"/>
    <s v="No"/>
    <s v="Yes"/>
    <n v="0"/>
    <n v="57260"/>
  </r>
  <r>
    <s v="Junior Data Analyst"/>
    <s v="Arsenault"/>
    <x v="4"/>
    <n v="50000"/>
    <n v="60000"/>
    <s v="No"/>
    <s v="No"/>
    <s v="No"/>
    <n v="2"/>
    <n v="55000"/>
  </r>
  <r>
    <s v="Junior Data Analytics Engineer"/>
    <s v="Simplex"/>
    <x v="7"/>
    <n v="50000"/>
    <n v="60000"/>
    <s v="Yes"/>
    <s v="Yes"/>
    <s v="No"/>
    <n v="2"/>
    <n v="55000"/>
  </r>
  <r>
    <s v="Junior Data Analyst"/>
    <s v="Steampunk"/>
    <x v="13"/>
    <n v="35000"/>
    <n v="60000"/>
    <s v="No"/>
    <s v="No"/>
    <s v="Yes"/>
    <n v="3"/>
    <n v="47500"/>
  </r>
  <r>
    <s v="Entry Level Interface Analyst"/>
    <s v="Greater Houston Healthconnect"/>
    <x v="1"/>
    <n v="40000"/>
    <n v="60000"/>
    <s v="Yes"/>
    <s v="Yes"/>
    <s v="No"/>
    <n v="0"/>
    <n v="50000"/>
  </r>
  <r>
    <s v="Provider Pricing Analyst"/>
    <s v="University Health San Antonio"/>
    <x v="10"/>
    <n v="38016"/>
    <n v="60000"/>
    <s v="Yes"/>
    <s v="No"/>
    <s v="No"/>
    <n v="1"/>
    <n v="49008"/>
  </r>
  <r>
    <s v="Compliance Analyst I"/>
    <s v="Office of Attorney General District of Columbia"/>
    <x v="7"/>
    <n v="48000"/>
    <n v="60000"/>
    <s v="No"/>
    <s v="No"/>
    <s v="Yes"/>
    <n v="2"/>
    <n v="54000"/>
  </r>
  <r>
    <s v="Pricing Analyst"/>
    <s v="Insight Global"/>
    <x v="9"/>
    <n v="45000"/>
    <n v="60000"/>
    <s v="No"/>
    <s v="No"/>
    <s v="Yes"/>
    <n v="3"/>
    <n v="52500"/>
  </r>
  <r>
    <s v="Marketing Analyst"/>
    <s v="GVEC"/>
    <x v="14"/>
    <n v="61400"/>
    <n v="61400"/>
    <s v="No"/>
    <s v="No"/>
    <s v="Yes"/>
    <n v="0"/>
    <n v="61400"/>
  </r>
  <r>
    <s v="Asset Protection Data Analyst"/>
    <s v="Solomon Page"/>
    <x v="4"/>
    <n v="61440"/>
    <n v="61440"/>
    <s v="No"/>
    <s v="No"/>
    <s v="Yes"/>
    <n v="2"/>
    <n v="61440"/>
  </r>
  <r>
    <s v="Entry Level Data Analyst"/>
    <s v="Upen Group Inc"/>
    <x v="3"/>
    <n v="42000"/>
    <n v="62000"/>
    <s v="Yes"/>
    <s v="No"/>
    <s v="Yes"/>
    <n v="0"/>
    <n v="52000"/>
  </r>
  <r>
    <s v="Tax Data Analyst"/>
    <s v="Dexian"/>
    <x v="10"/>
    <n v="58000"/>
    <n v="62400"/>
    <s v="Yes"/>
    <s v="No"/>
    <s v="No"/>
    <n v="0"/>
    <n v="60200"/>
  </r>
  <r>
    <s v="Hybrid HR  Payroll Data Analyst"/>
    <s v="PrimeSource Building Products"/>
    <x v="3"/>
    <n v="52000"/>
    <n v="62400"/>
    <s v="No"/>
    <s v="No"/>
    <s v="No"/>
    <n v="0"/>
    <n v="57200"/>
  </r>
  <r>
    <s v="SQL Server Data Analyst"/>
    <s v="VirtualVocations"/>
    <x v="15"/>
    <n v="42000"/>
    <n v="63000"/>
    <s v="Yes"/>
    <s v="No"/>
    <s v="No"/>
    <n v="2"/>
    <n v="52500"/>
  </r>
  <r>
    <s v="Data Analyst"/>
    <s v="Stirista LLC"/>
    <x v="10"/>
    <n v="55104"/>
    <n v="65000"/>
    <s v="Yes"/>
    <s v="No"/>
    <s v="Yes"/>
    <n v="0"/>
    <n v="60052"/>
  </r>
  <r>
    <s v="Data &amp; Technology Analyst"/>
    <s v="University of Texas at Dallas"/>
    <x v="16"/>
    <n v="65000"/>
    <n v="65000"/>
    <s v="No"/>
    <s v="No"/>
    <s v="Yes"/>
    <n v="3"/>
    <n v="65000"/>
  </r>
  <r>
    <s v="DATA ANALYST"/>
    <s v="AaraTech Inc"/>
    <x v="4"/>
    <n v="65000"/>
    <n v="65000"/>
    <s v="Yes"/>
    <s v="No"/>
    <s v="Yes"/>
    <n v="1"/>
    <n v="65000"/>
  </r>
  <r>
    <s v="Data Analyst Intern"/>
    <s v="Abb Holdings Inc"/>
    <x v="1"/>
    <n v="38400"/>
    <n v="65280"/>
    <s v="No"/>
    <s v="No"/>
    <s v="Yes"/>
    <n v="0"/>
    <n v="51840"/>
  </r>
  <r>
    <s v="Entry Level Data Analyst"/>
    <s v="CCS Global Tech"/>
    <x v="17"/>
    <n v="66000"/>
    <n v="67500"/>
    <s v="Yes"/>
    <s v="No"/>
    <s v="No"/>
    <n v="1"/>
    <n v="66750"/>
  </r>
  <r>
    <s v="Business Analyst"/>
    <s v="Business Analyst"/>
    <x v="5"/>
    <n v="68723"/>
    <n v="68723"/>
    <s v="Yes"/>
    <s v="No"/>
    <s v="Yes"/>
    <n v="1"/>
    <n v="68723"/>
  </r>
  <r>
    <s v="Data Analyst 1"/>
    <s v="Elevait Solutions"/>
    <x v="9"/>
    <n v="50000"/>
    <n v="70000"/>
    <s v="No"/>
    <s v="No"/>
    <s v="Yes"/>
    <n v="2"/>
    <n v="60000"/>
  </r>
  <r>
    <s v="Developer Analyst 1"/>
    <s v="MMC Group"/>
    <x v="7"/>
    <n v="53600"/>
    <n v="70000"/>
    <s v="Yes"/>
    <s v="No"/>
    <s v="Yes"/>
    <n v="3"/>
    <n v="61800"/>
  </r>
  <r>
    <s v="Jr Media Analyst"/>
    <s v="Acosta Group"/>
    <x v="18"/>
    <n v="65000"/>
    <n v="70000"/>
    <s v="No"/>
    <s v="No"/>
    <s v="Yes"/>
    <n v="1"/>
    <n v="67500"/>
  </r>
  <r>
    <s v="Automation and Analytics Specialist"/>
    <s v="Scott and Associates"/>
    <x v="5"/>
    <n v="50000"/>
    <n v="70000"/>
    <s v="Yes"/>
    <s v="Yes"/>
    <s v="No"/>
    <n v="0"/>
    <n v="60000"/>
  </r>
  <r>
    <s v="Revenue Cycle Analyst"/>
    <s v="NorthStar Anesthesia"/>
    <x v="3"/>
    <n v="51000"/>
    <n v="71000"/>
    <s v="Yes"/>
    <s v="No"/>
    <s v="Yes"/>
    <n v="2"/>
    <n v="61000"/>
  </r>
  <r>
    <s v="Data Analytics Intern"/>
    <s v="Cloudflare"/>
    <x v="7"/>
    <n v="42000"/>
    <n v="73000"/>
    <s v="Yes"/>
    <s v="Yes"/>
    <s v="No"/>
    <n v="0"/>
    <n v="57500"/>
  </r>
  <r>
    <s v="Reporting Analyst"/>
    <s v="TUCO Inc "/>
    <x v="19"/>
    <n v="60712"/>
    <n v="73115"/>
    <s v="No"/>
    <s v="No"/>
    <s v="Yes"/>
    <n v="0"/>
    <n v="66913.5"/>
  </r>
  <r>
    <s v="Analyst Consultant"/>
    <s v="NewGen Strategies &amp; Solutions"/>
    <x v="7"/>
    <n v="65000"/>
    <n v="75000"/>
    <s v="Yes"/>
    <s v="Yes"/>
    <s v="Yes"/>
    <n v="1"/>
    <n v="70000"/>
  </r>
  <r>
    <s v="Business Analyst"/>
    <s v="_x000a_HMG AMERICA LLC "/>
    <x v="7"/>
    <n v="76800"/>
    <n v="76800"/>
    <s v="Yes"/>
    <s v="No"/>
    <s v="No"/>
    <n v="0"/>
    <n v="76800"/>
  </r>
  <r>
    <s v="Finance Analyst 1"/>
    <s v="Kiewit Corporation"/>
    <x v="20"/>
    <n v="66000"/>
    <n v="77000"/>
    <s v="Yes"/>
    <s v="No"/>
    <s v="Yes"/>
    <n v="0"/>
    <n v="71500"/>
  </r>
  <r>
    <s v="Data Analyst-Entry Level "/>
    <s v="Emonics"/>
    <x v="4"/>
    <n v="65786"/>
    <n v="79000"/>
    <s v="Yes"/>
    <s v="Yes"/>
    <s v="Yes"/>
    <n v="0"/>
    <n v="72393"/>
  </r>
  <r>
    <s v="Analyst 1 Data Analysis and Operations"/>
    <s v=" Houston Independent School District"/>
    <x v="1"/>
    <n v="60000"/>
    <n v="80000"/>
    <s v="Yes"/>
    <s v="Yes"/>
    <s v="Yes"/>
    <n v="1"/>
    <n v="70000"/>
  </r>
  <r>
    <s v="Junior Master Data Analyst"/>
    <s v="Remote Career"/>
    <x v="21"/>
    <n v="60000"/>
    <n v="80000"/>
    <s v="Yes"/>
    <s v="Yes"/>
    <s v="No"/>
    <n v="0"/>
    <n v="70000"/>
  </r>
  <r>
    <s v="Growth Analytics Associate"/>
    <s v="Rugiet Health"/>
    <x v="17"/>
    <n v="60000"/>
    <n v="80000"/>
    <s v="Yes"/>
    <s v="No"/>
    <s v="No"/>
    <n v="1"/>
    <n v="70000"/>
  </r>
  <r>
    <s v="Junior Data Analyst"/>
    <s v="DetaPent"/>
    <x v="1"/>
    <n v="60000"/>
    <n v="80000"/>
    <s v="Yes"/>
    <s v="No"/>
    <s v="Yes"/>
    <n v="0"/>
    <n v="70000"/>
  </r>
  <r>
    <s v="Trade Entry Analyst"/>
    <s v="Gunvor"/>
    <x v="1"/>
    <n v="70000"/>
    <n v="80000"/>
    <s v="No"/>
    <s v="No"/>
    <s v="Yes"/>
    <n v="0"/>
    <n v="75000"/>
  </r>
  <r>
    <s v="Payer Data Analyst"/>
    <s v="Senderra Specialty Pharmacy"/>
    <x v="4"/>
    <n v="80000"/>
    <n v="80000"/>
    <s v="Yes"/>
    <s v="No"/>
    <s v="Yes"/>
    <n v="2"/>
    <n v="80000"/>
  </r>
  <r>
    <s v="Analyst 1"/>
    <s v="Houston Independent School District"/>
    <x v="1"/>
    <n v="60000"/>
    <n v="80000"/>
    <s v="Yes"/>
    <s v="No"/>
    <s v="Yes"/>
    <n v="3"/>
    <n v="70000"/>
  </r>
  <r>
    <s v=" Growth Analytics Associate"/>
    <s v="Rugiet Health"/>
    <x v="7"/>
    <n v="60000"/>
    <n v="80000"/>
    <s v="Yes"/>
    <s v="No"/>
    <s v="No"/>
    <n v="1"/>
    <n v="70000"/>
  </r>
  <r>
    <s v="Data Analyst"/>
    <s v="Codersdata"/>
    <x v="4"/>
    <n v="70000"/>
    <n v="80000"/>
    <s v="Yes"/>
    <s v="Yes"/>
    <s v="No"/>
    <n v="0"/>
    <n v="75000"/>
  </r>
  <r>
    <s v="Marketing Analyst "/>
    <s v="Bimbo Bakeries USA"/>
    <x v="3"/>
    <n v="64700"/>
    <n v="84100"/>
    <s v="No"/>
    <s v="No"/>
    <s v="Yes"/>
    <n v="0"/>
    <n v="74400"/>
  </r>
  <r>
    <s v="Budget Analyst"/>
    <s v="Legislative Budget Board"/>
    <x v="7"/>
    <n v="50000"/>
    <n v="85000"/>
    <s v="No"/>
    <s v="No"/>
    <s v="Yes"/>
    <n v="2"/>
    <n v="67500"/>
  </r>
  <r>
    <s v="Data Analyst"/>
    <s v="Texas Workforce Commission"/>
    <x v="7"/>
    <n v="75480"/>
    <n v="85392"/>
    <s v="Yes"/>
    <s v="No"/>
    <s v="Yes"/>
    <n v="3"/>
    <n v="80436"/>
  </r>
  <r>
    <s v="Performance Data Analyst"/>
    <s v="Texas HHSC, Texas DSHS And Texas DFPS"/>
    <x v="7"/>
    <n v="65104"/>
    <n v="85869"/>
    <s v="Yes"/>
    <s v="Yes"/>
    <s v="Yes"/>
    <n v="2"/>
    <n v="75486.5"/>
  </r>
  <r>
    <s v="Specialist Analytics and Insights"/>
    <s v="Gartner"/>
    <x v="3"/>
    <n v="64000"/>
    <n v="87000"/>
    <s v="No"/>
    <s v="No"/>
    <s v="Yes"/>
    <n v="1"/>
    <n v="75500"/>
  </r>
  <r>
    <s v="Business Process Delivery Analyst"/>
    <s v="Accenture"/>
    <x v="7"/>
    <n v="61000"/>
    <n v="87000"/>
    <s v="No"/>
    <s v="No"/>
    <s v="Yes"/>
    <n v="0"/>
    <n v="74000"/>
  </r>
  <r>
    <s v="Reimbursement Analyst I"/>
    <s v="Texas Health and Human Services Commission"/>
    <x v="7"/>
    <n v="54283"/>
    <n v="87045"/>
    <s v="Yes"/>
    <s v="Yes"/>
    <s v="Yes"/>
    <n v="0"/>
    <n v="70664"/>
  </r>
  <r>
    <s v="Insights Analyst"/>
    <s v="Meltwater"/>
    <x v="7"/>
    <n v="67000"/>
    <n v="89000"/>
    <s v="No"/>
    <s v="No"/>
    <s v="Yes"/>
    <n v="0"/>
    <n v="78000"/>
  </r>
  <r>
    <s v="Data Analyst"/>
    <s v="TechDigital Group"/>
    <x v="22"/>
    <n v="50000"/>
    <n v="90000"/>
    <s v="No"/>
    <s v="No"/>
    <s v="No"/>
    <n v="0"/>
    <n v="70000"/>
  </r>
  <r>
    <s v="Compensation Analyst"/>
    <s v="Lennox"/>
    <x v="16"/>
    <n v="70000"/>
    <n v="91000"/>
    <s v="No"/>
    <s v="No"/>
    <s v="Yes"/>
    <n v="1"/>
    <n v="80500"/>
  </r>
  <r>
    <s v="IT Financial Analyst I"/>
    <s v="Texas Association of School Boards"/>
    <x v="7"/>
    <n v="59000"/>
    <n v="92000"/>
    <s v="No"/>
    <s v="No"/>
    <s v="Yes"/>
    <n v="3"/>
    <n v="75500"/>
  </r>
  <r>
    <s v="ECI Data and Report Analyst"/>
    <s v="Texas HHSC, Texas DSHS And Texas DFPS"/>
    <x v="7"/>
    <n v="57612"/>
    <n v="93132"/>
    <s v="Yes"/>
    <s v="No"/>
    <s v="Yes"/>
    <n v="2"/>
    <n v="75372"/>
  </r>
  <r>
    <s v="Actuarial Analyst"/>
    <s v="Texas Mutual Insurance Company"/>
    <x v="7"/>
    <n v="77000"/>
    <n v="95000"/>
    <s v="No"/>
    <s v="No"/>
    <s v="Yes"/>
    <n v="0"/>
    <n v="86000"/>
  </r>
  <r>
    <s v="Data Modeler 1"/>
    <s v=" Daiken Comfort"/>
    <x v="23"/>
    <n v="73000"/>
    <n v="95000"/>
    <s v="Yes"/>
    <s v="No"/>
    <s v="Yes"/>
    <n v="1"/>
    <n v="84000"/>
  </r>
  <r>
    <s v="Digital Performance Analyst"/>
    <s v="SoTalent"/>
    <x v="1"/>
    <n v="64200"/>
    <n v="96200"/>
    <s v="Yes"/>
    <s v="No"/>
    <s v="No"/>
    <n v="2"/>
    <n v="80200"/>
  </r>
  <r>
    <s v="Business Analyst I, Category Pricing"/>
    <s v="Amazon"/>
    <x v="7"/>
    <n v="55800"/>
    <n v="97600"/>
    <s v="Yes"/>
    <s v="No"/>
    <s v="No"/>
    <n v="2"/>
    <n v="76700"/>
  </r>
  <r>
    <s v="Jr HRIS Analyst"/>
    <s v="Jobs via Dice"/>
    <x v="24"/>
    <n v="78757"/>
    <n v="100879"/>
    <s v="Yes"/>
    <s v="No"/>
    <s v="No"/>
    <n v="1"/>
    <n v="89818"/>
  </r>
  <r>
    <s v="Short Term Planning Analyst"/>
    <s v="Robinhood"/>
    <x v="25"/>
    <n v="86000"/>
    <n v="101000"/>
    <s v="Yes"/>
    <s v="Yes"/>
    <s v="Yes"/>
    <n v="1"/>
    <n v="93500"/>
  </r>
  <r>
    <s v="Entry Level Data Analyst"/>
    <s v="RocketSauce Media Labs"/>
    <x v="5"/>
    <n v="57500"/>
    <n v="103400"/>
    <s v="Yes"/>
    <s v="No"/>
    <s v="Yes"/>
    <n v="0"/>
    <n v="80450"/>
  </r>
  <r>
    <s v="Data Analyst "/>
    <s v="Lensa"/>
    <x v="4"/>
    <n v="57100"/>
    <n v="104000"/>
    <s v="Yes"/>
    <s v="Yes"/>
    <s v="No"/>
    <n v="0"/>
    <n v="80550"/>
  </r>
  <r>
    <s v="Technical Analyst  Entry Level"/>
    <s v="Lensa"/>
    <x v="7"/>
    <n v="57100"/>
    <n v="104000"/>
    <s v="Yes"/>
    <s v="Yes"/>
    <s v="No"/>
    <n v="0"/>
    <n v="80550"/>
  </r>
  <r>
    <s v="Jr Data Analyst"/>
    <s v="Twelve Labs"/>
    <x v="1"/>
    <n v="106000"/>
    <n v="107000"/>
    <s v="Yes"/>
    <s v="Yes"/>
    <s v="Yes"/>
    <n v="1"/>
    <n v="106500"/>
  </r>
  <r>
    <s v="Entry Level Data Analyst"/>
    <s v="Atechstar"/>
    <x v="4"/>
    <n v="107000"/>
    <n v="108000"/>
    <s v="Yes"/>
    <s v="Yes"/>
    <s v="No"/>
    <n v="0"/>
    <n v="107500"/>
  </r>
  <r>
    <s v="Quant Analytics"/>
    <s v="Hackajob"/>
    <x v="5"/>
    <n v="70000"/>
    <n v="110000"/>
    <s v="Yes"/>
    <s v="Yes"/>
    <s v="No"/>
    <n v="2"/>
    <n v="90000"/>
  </r>
  <r>
    <s v="Workday Systems Analyst"/>
    <s v="Prestige Staffing"/>
    <x v="26"/>
    <n v="95000"/>
    <n v="120000"/>
    <s v="Yes"/>
    <s v="Yes"/>
    <s v="No"/>
    <n v="0"/>
    <n v="107500"/>
  </r>
  <r>
    <s v="Analyst, Commercial Analysis"/>
    <s v="RWE"/>
    <x v="7"/>
    <n v="110000"/>
    <n v="120000"/>
    <s v="Yes"/>
    <s v="Yes"/>
    <s v="Yes"/>
    <n v="0"/>
    <n v="115000"/>
  </r>
  <r>
    <s v="Entry Level Data Scientist/Analyst"/>
    <s v="SynergisticIT"/>
    <x v="7"/>
    <n v="80000"/>
    <n v="121000"/>
    <s v="No"/>
    <s v="Yes"/>
    <s v="No"/>
    <n v="0"/>
    <n v="100500"/>
  </r>
  <r>
    <s v="Mechanical Data Analyst"/>
    <s v="Experis"/>
    <x v="27"/>
    <n v="71000"/>
    <n v="121000"/>
    <s v="Yes"/>
    <s v="No"/>
    <s v="Yes"/>
    <n v="3"/>
    <n v="96000"/>
  </r>
  <r>
    <s v="Digital Analyst "/>
    <s v="SGS Consulting"/>
    <x v="9"/>
    <n v="115200"/>
    <n v="124800"/>
    <s v="Yes"/>
    <s v="No"/>
    <s v="No"/>
    <n v="1"/>
    <n v="120000"/>
  </r>
  <r>
    <s v="Entry Level Business Analyst"/>
    <s v="National Software Management"/>
    <x v="7"/>
    <n v="74017"/>
    <n v="124944"/>
    <s v="No"/>
    <s v="No"/>
    <s v="No"/>
    <n v="0"/>
    <n v="99480.5"/>
  </r>
  <r>
    <s v="Entry Level Business Analyst"/>
    <s v="National Software management"/>
    <x v="1"/>
    <n v="74017"/>
    <n v="124944"/>
    <s v="No"/>
    <s v="No"/>
    <s v="No"/>
    <n v="0"/>
    <n v="99480.5"/>
  </r>
  <r>
    <s v="Analyst I  Merchant Risk"/>
    <s v="Affirm"/>
    <x v="1"/>
    <n v="102000"/>
    <n v="142000"/>
    <s v="Yes"/>
    <s v="Yes"/>
    <s v="No"/>
    <n v="0"/>
    <n v="122000"/>
  </r>
  <r>
    <s v="Data Analyst"/>
    <s v="Hudson Manpower"/>
    <x v="1"/>
    <n v="75000"/>
    <n v="150000"/>
    <s v="Yes"/>
    <s v="No"/>
    <s v="Yes"/>
    <n v="1"/>
    <n v="112500"/>
  </r>
  <r>
    <s v="Data Analyst"/>
    <s v="Wandata Tech"/>
    <x v="4"/>
    <n v="75000"/>
    <n v="150000"/>
    <s v="No"/>
    <s v="No"/>
    <s v="Yes"/>
    <n v="1"/>
    <n v="112500"/>
  </r>
  <r>
    <s v="Entry Level Data Analyst/Engineer"/>
    <s v="Synergistic it"/>
    <x v="7"/>
    <n v="90000"/>
    <n v="154000"/>
    <s v="No"/>
    <s v="Yes"/>
    <s v="No"/>
    <n v="0"/>
    <n v="122000"/>
  </r>
  <r>
    <s v="Jr Data Analyst"/>
    <s v="Guru Schools"/>
    <x v="4"/>
    <m/>
    <m/>
    <s v="Yes"/>
    <s v="No"/>
    <s v="No"/>
    <n v="0"/>
    <n v="0"/>
  </r>
  <r>
    <s v="Junior Data Analyst"/>
    <s v="Codevista Solutions"/>
    <x v="4"/>
    <m/>
    <m/>
    <s v="Yes"/>
    <s v="No"/>
    <s v="Yes"/>
    <n v="0"/>
    <n v="0"/>
  </r>
  <r>
    <s v="Junior Data Analyst"/>
    <s v="Codevista Solutions"/>
    <x v="4"/>
    <m/>
    <m/>
    <s v="Yes"/>
    <s v="No"/>
    <s v="Yes"/>
    <n v="0"/>
    <n v="0"/>
  </r>
  <r>
    <s v="Data Analyst"/>
    <s v="Raise"/>
    <x v="28"/>
    <m/>
    <m/>
    <s v="Yes"/>
    <s v="No"/>
    <s v="Yes"/>
    <n v="0"/>
    <n v="0"/>
  </r>
  <r>
    <s v="Associate Analyst Division Order"/>
    <s v="Energy Transfer Partners"/>
    <x v="1"/>
    <m/>
    <m/>
    <s v="No"/>
    <s v="No"/>
    <s v="Yes"/>
    <n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ABF21-1554-41A2-A76A-F3E9FDD14875}" name="PivotTable1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6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">
        <item x="1"/>
        <item x="0"/>
        <item m="1" x="2"/>
        <item t="default"/>
      </items>
    </pivotField>
    <pivotField compact="0" outline="0" showAll="0"/>
    <pivotField compact="0" outline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Python" fld="6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4B87B-4B9B-46BE-BE2B-9E9A464E8F7F}" name="PivotTable2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6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SQL" fld="5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F2891-5695-4F15-B0D5-30397DFFA7C1}" name="PivotTable3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3">
        <item x="0"/>
        <item x="1"/>
        <item t="default"/>
      </items>
    </pivotField>
    <pivotField compact="0" outline="0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Excel" fld="7" subtotal="count" showDataAs="percentOfTotal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626D0-50A9-41B8-ABFA-EDEF894D5251}" name="PivotTable4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33" firstHeaderRow="1" firstDataRow="1" firstDataCol="1"/>
  <pivotFields count="9">
    <pivotField compact="0" outline="0" showAll="0"/>
    <pivotField compact="0" outline="0" showAll="0"/>
    <pivotField axis="axisRow" compact="0" outline="0" showAll="0">
      <items count="30">
        <item x="2"/>
        <item x="20"/>
        <item x="7"/>
        <item x="4"/>
        <item x="8"/>
        <item x="13"/>
        <item x="9"/>
        <item x="12"/>
        <item x="0"/>
        <item x="1"/>
        <item x="3"/>
        <item x="15"/>
        <item x="22"/>
        <item x="10"/>
        <item x="21"/>
        <item x="17"/>
        <item x="5"/>
        <item x="24"/>
        <item x="28"/>
        <item x="19"/>
        <item x="6"/>
        <item x="18"/>
        <item x="11"/>
        <item x="26"/>
        <item x="16"/>
        <item x="23"/>
        <item x="27"/>
        <item x="25"/>
        <item x="1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Job Count" fld="8" subtotal="count" baseField="2" baseItem="0"/>
  </dataFields>
  <chartFormats count="2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A97D2-D9F1-4970-A140-3EAD5B176042}" name="PivotTable1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33" firstHeaderRow="1" firstDataRow="1" firstDataCol="1"/>
  <pivotFields count="10">
    <pivotField showAll="0"/>
    <pivotField showAll="0"/>
    <pivotField axis="axisRow" showAll="0">
      <items count="30">
        <item x="26"/>
        <item x="17"/>
        <item x="2"/>
        <item x="20"/>
        <item x="24"/>
        <item x="19"/>
        <item x="7"/>
        <item x="27"/>
        <item x="4"/>
        <item x="8"/>
        <item x="13"/>
        <item x="9"/>
        <item x="12"/>
        <item x="0"/>
        <item x="28"/>
        <item x="1"/>
        <item x="6"/>
        <item x="3"/>
        <item x="15"/>
        <item x="18"/>
        <item x="5"/>
        <item x="16"/>
        <item x="22"/>
        <item x="10"/>
        <item x="11"/>
        <item x="14"/>
        <item x="21"/>
        <item x="23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Average of Average Salary" fld="9" subtotal="average" baseField="2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3FED2F-595B-4586-AB61-919BAD66556F}" name="Table6" displayName="Table6" ref="A1:J101" totalsRowShown="0" headerRowDxfId="0" dataDxfId="1" tableBorderDxfId="12">
  <autoFilter ref="A1:J101" xr:uid="{A13FED2F-595B-4586-AB61-919BAD66556F}"/>
  <tableColumns count="10">
    <tableColumn id="1" xr3:uid="{70403234-95A9-4FD6-9AA4-06ED6F6E54BE}" name="Job Title" dataDxfId="11"/>
    <tableColumn id="2" xr3:uid="{4EA8FA69-D2EA-4A3F-87A9-2BAD17CBB4CB}" name="Company" dataDxfId="10"/>
    <tableColumn id="3" xr3:uid="{F327CBCB-D42F-46F1-B2F4-B7E13ED56C11}" name="City" dataDxfId="9"/>
    <tableColumn id="4" xr3:uid="{990BB8E4-228B-4F28-82FB-6ACBFBA243A9}" name="Salary Low" dataDxfId="8"/>
    <tableColumn id="5" xr3:uid="{B4E65045-58A6-4878-A8CD-8E10B0AF530D}" name="Salary High" dataDxfId="7"/>
    <tableColumn id="6" xr3:uid="{9E850B9A-ED88-40BF-87C1-EBEAB5D32CA7}" name="SQL" dataDxfId="6"/>
    <tableColumn id="7" xr3:uid="{D1742438-9CF8-497C-8795-0B364EAD6B95}" name="Python" dataDxfId="5"/>
    <tableColumn id="8" xr3:uid="{C3E041E0-9170-4A68-985F-A58896123FE6}" name="Excel" dataDxfId="4"/>
    <tableColumn id="9" xr3:uid="{0AFD8C75-BA09-4DA8-BA26-7E891DAEE9D2}" name="Years Experience" dataDxfId="3"/>
    <tableColumn id="10" xr3:uid="{1610990C-775B-4F95-9A04-F203D5B37E42}" name="Average Salary" dataDxfId="2">
      <calculatedColumnFormula>(D2+E2)/2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D4EF-F163-42C6-9BCF-B139CD3EA4F3}">
  <dimension ref="A3:B6"/>
  <sheetViews>
    <sheetView workbookViewId="0">
      <selection activeCell="A6" sqref="A6"/>
    </sheetView>
  </sheetViews>
  <sheetFormatPr defaultRowHeight="15" x14ac:dyDescent="0.25"/>
  <cols>
    <col min="1" max="1" width="11.28515625" bestFit="1" customWidth="1"/>
    <col min="2" max="2" width="15.7109375" bestFit="1" customWidth="1"/>
    <col min="3" max="3" width="12.28515625" bestFit="1" customWidth="1"/>
  </cols>
  <sheetData>
    <row r="3" spans="1:2" x14ac:dyDescent="0.25">
      <c r="A3" s="1" t="s">
        <v>0</v>
      </c>
      <c r="B3" t="s">
        <v>1</v>
      </c>
    </row>
    <row r="4" spans="1:2" x14ac:dyDescent="0.25">
      <c r="A4" t="s">
        <v>2</v>
      </c>
      <c r="B4" s="2">
        <v>0.74</v>
      </c>
    </row>
    <row r="5" spans="1:2" x14ac:dyDescent="0.25">
      <c r="A5" t="s">
        <v>3</v>
      </c>
      <c r="B5" s="2">
        <v>0.26</v>
      </c>
    </row>
    <row r="6" spans="1:2" x14ac:dyDescent="0.25">
      <c r="A6" t="s">
        <v>4</v>
      </c>
      <c r="B6" s="2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BC24-8A15-474F-B2D8-D6A4A6634C7C}">
  <dimension ref="A3:B6"/>
  <sheetViews>
    <sheetView workbookViewId="0">
      <selection activeCell="B3" sqref="B3"/>
    </sheetView>
  </sheetViews>
  <sheetFormatPr defaultRowHeight="15" x14ac:dyDescent="0.25"/>
  <cols>
    <col min="1" max="1" width="11.28515625" bestFit="1" customWidth="1"/>
    <col min="2" max="2" width="12.85546875" bestFit="1" customWidth="1"/>
  </cols>
  <sheetData>
    <row r="3" spans="1:2" x14ac:dyDescent="0.25">
      <c r="A3" s="1" t="s">
        <v>5</v>
      </c>
      <c r="B3" t="s">
        <v>6</v>
      </c>
    </row>
    <row r="4" spans="1:2" x14ac:dyDescent="0.25">
      <c r="A4" t="s">
        <v>2</v>
      </c>
      <c r="B4" s="2">
        <v>0.39</v>
      </c>
    </row>
    <row r="5" spans="1:2" x14ac:dyDescent="0.25">
      <c r="A5" t="s">
        <v>3</v>
      </c>
      <c r="B5" s="2">
        <v>0.61</v>
      </c>
    </row>
    <row r="6" spans="1:2" x14ac:dyDescent="0.25">
      <c r="A6" t="s">
        <v>4</v>
      </c>
      <c r="B6" s="2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7AA3-170C-4CB1-9782-780CB0DEA2C5}">
  <dimension ref="A3:B6"/>
  <sheetViews>
    <sheetView workbookViewId="0">
      <selection activeCell="B3" sqref="B3"/>
    </sheetView>
  </sheetViews>
  <sheetFormatPr defaultRowHeight="15" x14ac:dyDescent="0.25"/>
  <cols>
    <col min="1" max="1" width="11.28515625" bestFit="1" customWidth="1"/>
    <col min="2" max="2" width="14.28515625" bestFit="1" customWidth="1"/>
  </cols>
  <sheetData>
    <row r="3" spans="1:2" x14ac:dyDescent="0.25">
      <c r="A3" s="1" t="s">
        <v>7</v>
      </c>
      <c r="B3" t="s">
        <v>8</v>
      </c>
    </row>
    <row r="4" spans="1:2" x14ac:dyDescent="0.25">
      <c r="A4" t="s">
        <v>2</v>
      </c>
      <c r="B4" s="2">
        <v>0.38</v>
      </c>
    </row>
    <row r="5" spans="1:2" x14ac:dyDescent="0.25">
      <c r="A5" t="s">
        <v>3</v>
      </c>
      <c r="B5" s="2">
        <v>0.62</v>
      </c>
    </row>
    <row r="6" spans="1:2" x14ac:dyDescent="0.25">
      <c r="A6" t="s">
        <v>4</v>
      </c>
      <c r="B6" s="2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6DD8-FF62-4225-BC2A-4DA7081DC1D1}">
  <dimension ref="A3:B33"/>
  <sheetViews>
    <sheetView workbookViewId="0">
      <selection activeCell="A3" sqref="A3"/>
    </sheetView>
  </sheetViews>
  <sheetFormatPr defaultRowHeight="15" x14ac:dyDescent="0.25"/>
  <cols>
    <col min="1" max="1" width="12.7109375" bestFit="1" customWidth="1"/>
    <col min="2" max="2" width="10" bestFit="1" customWidth="1"/>
    <col min="3" max="3" width="22.7109375" bestFit="1" customWidth="1"/>
  </cols>
  <sheetData>
    <row r="3" spans="1:2" x14ac:dyDescent="0.25">
      <c r="A3" s="1" t="s">
        <v>9</v>
      </c>
      <c r="B3" t="s">
        <v>218</v>
      </c>
    </row>
    <row r="4" spans="1:2" x14ac:dyDescent="0.25">
      <c r="A4" t="s">
        <v>11</v>
      </c>
      <c r="B4" s="3">
        <v>1</v>
      </c>
    </row>
    <row r="5" spans="1:2" x14ac:dyDescent="0.25">
      <c r="A5" t="s">
        <v>13</v>
      </c>
      <c r="B5" s="3">
        <v>1</v>
      </c>
    </row>
    <row r="6" spans="1:2" x14ac:dyDescent="0.25">
      <c r="A6" t="s">
        <v>15</v>
      </c>
      <c r="B6" s="3">
        <v>25</v>
      </c>
    </row>
    <row r="7" spans="1:2" x14ac:dyDescent="0.25">
      <c r="A7" t="s">
        <v>20</v>
      </c>
      <c r="B7" s="3">
        <v>16</v>
      </c>
    </row>
    <row r="8" spans="1:2" x14ac:dyDescent="0.25">
      <c r="A8" t="s">
        <v>24</v>
      </c>
      <c r="B8" s="3">
        <v>1</v>
      </c>
    </row>
    <row r="9" spans="1:2" x14ac:dyDescent="0.25">
      <c r="A9" t="s">
        <v>25</v>
      </c>
      <c r="B9" s="3">
        <v>1</v>
      </c>
    </row>
    <row r="10" spans="1:2" x14ac:dyDescent="0.25">
      <c r="A10" t="s">
        <v>26</v>
      </c>
      <c r="B10" s="3">
        <v>4</v>
      </c>
    </row>
    <row r="11" spans="1:2" x14ac:dyDescent="0.25">
      <c r="A11" t="s">
        <v>28</v>
      </c>
      <c r="B11" s="3">
        <v>1</v>
      </c>
    </row>
    <row r="12" spans="1:2" x14ac:dyDescent="0.25">
      <c r="A12" t="s">
        <v>30</v>
      </c>
      <c r="B12" s="3">
        <v>1</v>
      </c>
    </row>
    <row r="13" spans="1:2" x14ac:dyDescent="0.25">
      <c r="A13" t="s">
        <v>31</v>
      </c>
      <c r="B13" s="3">
        <v>15</v>
      </c>
    </row>
    <row r="14" spans="1:2" x14ac:dyDescent="0.25">
      <c r="A14" t="s">
        <v>33</v>
      </c>
      <c r="B14" s="3">
        <v>6</v>
      </c>
    </row>
    <row r="15" spans="1:2" x14ac:dyDescent="0.25">
      <c r="A15" t="s">
        <v>35</v>
      </c>
      <c r="B15" s="3">
        <v>1</v>
      </c>
    </row>
    <row r="16" spans="1:2" x14ac:dyDescent="0.25">
      <c r="A16" t="s">
        <v>37</v>
      </c>
      <c r="B16" s="3">
        <v>1</v>
      </c>
    </row>
    <row r="17" spans="1:2" x14ac:dyDescent="0.25">
      <c r="A17" t="s">
        <v>38</v>
      </c>
      <c r="B17" s="3">
        <v>4</v>
      </c>
    </row>
    <row r="18" spans="1:2" x14ac:dyDescent="0.25">
      <c r="A18" t="s">
        <v>41</v>
      </c>
      <c r="B18" s="3">
        <v>1</v>
      </c>
    </row>
    <row r="19" spans="1:2" x14ac:dyDescent="0.25">
      <c r="A19" t="s">
        <v>76</v>
      </c>
      <c r="B19" s="3">
        <v>2</v>
      </c>
    </row>
    <row r="20" spans="1:2" x14ac:dyDescent="0.25">
      <c r="A20" t="s">
        <v>107</v>
      </c>
      <c r="B20" s="3">
        <v>6</v>
      </c>
    </row>
    <row r="21" spans="1:2" x14ac:dyDescent="0.25">
      <c r="A21" t="s">
        <v>123</v>
      </c>
      <c r="B21" s="3">
        <v>1</v>
      </c>
    </row>
    <row r="22" spans="1:2" x14ac:dyDescent="0.25">
      <c r="A22" t="s">
        <v>133</v>
      </c>
      <c r="B22" s="3">
        <v>1</v>
      </c>
    </row>
    <row r="23" spans="1:2" x14ac:dyDescent="0.25">
      <c r="A23" t="s">
        <v>136</v>
      </c>
      <c r="B23" s="3">
        <v>1</v>
      </c>
    </row>
    <row r="24" spans="1:2" x14ac:dyDescent="0.25">
      <c r="A24" t="s">
        <v>142</v>
      </c>
      <c r="B24" s="3">
        <v>1</v>
      </c>
    </row>
    <row r="25" spans="1:2" x14ac:dyDescent="0.25">
      <c r="A25" t="s">
        <v>145</v>
      </c>
      <c r="B25" s="3">
        <v>1</v>
      </c>
    </row>
    <row r="26" spans="1:2" x14ac:dyDescent="0.25">
      <c r="A26" t="s">
        <v>152</v>
      </c>
      <c r="B26" s="3">
        <v>1</v>
      </c>
    </row>
    <row r="27" spans="1:2" x14ac:dyDescent="0.25">
      <c r="A27" t="s">
        <v>165</v>
      </c>
      <c r="B27" s="3">
        <v>1</v>
      </c>
    </row>
    <row r="28" spans="1:2" x14ac:dyDescent="0.25">
      <c r="A28" t="s">
        <v>174</v>
      </c>
      <c r="B28" s="3">
        <v>2</v>
      </c>
    </row>
    <row r="29" spans="1:2" x14ac:dyDescent="0.25">
      <c r="A29" t="s">
        <v>177</v>
      </c>
      <c r="B29" s="3">
        <v>1</v>
      </c>
    </row>
    <row r="30" spans="1:2" x14ac:dyDescent="0.25">
      <c r="A30" t="s">
        <v>190</v>
      </c>
      <c r="B30" s="3">
        <v>1</v>
      </c>
    </row>
    <row r="31" spans="1:2" x14ac:dyDescent="0.25">
      <c r="A31" t="s">
        <v>210</v>
      </c>
      <c r="B31" s="3">
        <v>1</v>
      </c>
    </row>
    <row r="32" spans="1:2" x14ac:dyDescent="0.25">
      <c r="A32" t="s">
        <v>213</v>
      </c>
      <c r="B32" s="3">
        <v>1</v>
      </c>
    </row>
    <row r="33" spans="1:2" x14ac:dyDescent="0.25">
      <c r="A33" t="s">
        <v>4</v>
      </c>
      <c r="B33" s="3">
        <v>100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8368-E47A-4529-893B-CCDDD881D0BA}">
  <dimension ref="A3:B33"/>
  <sheetViews>
    <sheetView workbookViewId="0">
      <selection activeCell="K21" sqref="K21"/>
    </sheetView>
  </sheetViews>
  <sheetFormatPr defaultRowHeight="15" x14ac:dyDescent="0.25"/>
  <cols>
    <col min="1" max="1" width="13.42578125" bestFit="1" customWidth="1"/>
    <col min="2" max="2" width="24.28515625" bestFit="1" customWidth="1"/>
  </cols>
  <sheetData>
    <row r="3" spans="1:2" x14ac:dyDescent="0.25">
      <c r="A3" s="1" t="s">
        <v>224</v>
      </c>
      <c r="B3" t="s">
        <v>225</v>
      </c>
    </row>
    <row r="4" spans="1:2" x14ac:dyDescent="0.25">
      <c r="A4" s="17" t="s">
        <v>165</v>
      </c>
      <c r="B4" s="3">
        <v>107500</v>
      </c>
    </row>
    <row r="5" spans="1:2" x14ac:dyDescent="0.25">
      <c r="A5" s="17" t="s">
        <v>76</v>
      </c>
      <c r="B5" s="3">
        <v>68375</v>
      </c>
    </row>
    <row r="6" spans="1:2" x14ac:dyDescent="0.25">
      <c r="A6" s="17" t="s">
        <v>11</v>
      </c>
      <c r="B6" s="3">
        <v>40320</v>
      </c>
    </row>
    <row r="7" spans="1:2" x14ac:dyDescent="0.25">
      <c r="A7" s="17" t="s">
        <v>13</v>
      </c>
      <c r="B7" s="3">
        <v>71500</v>
      </c>
    </row>
    <row r="8" spans="1:2" x14ac:dyDescent="0.25">
      <c r="A8" s="17" t="s">
        <v>123</v>
      </c>
      <c r="B8" s="3">
        <v>89818</v>
      </c>
    </row>
    <row r="9" spans="1:2" x14ac:dyDescent="0.25">
      <c r="A9" s="17" t="s">
        <v>136</v>
      </c>
      <c r="B9" s="3">
        <v>66913.5</v>
      </c>
    </row>
    <row r="10" spans="1:2" x14ac:dyDescent="0.25">
      <c r="A10" s="17" t="s">
        <v>15</v>
      </c>
      <c r="B10" s="3">
        <v>75077.2</v>
      </c>
    </row>
    <row r="11" spans="1:2" x14ac:dyDescent="0.25">
      <c r="A11" s="17" t="s">
        <v>190</v>
      </c>
      <c r="B11" s="3">
        <v>96000</v>
      </c>
    </row>
    <row r="12" spans="1:2" x14ac:dyDescent="0.25">
      <c r="A12" s="17" t="s">
        <v>20</v>
      </c>
      <c r="B12" s="3">
        <v>56862.25</v>
      </c>
    </row>
    <row r="13" spans="1:2" x14ac:dyDescent="0.25">
      <c r="A13" s="17" t="s">
        <v>24</v>
      </c>
      <c r="B13" s="3">
        <v>51500</v>
      </c>
    </row>
    <row r="14" spans="1:2" x14ac:dyDescent="0.25">
      <c r="A14" s="17" t="s">
        <v>25</v>
      </c>
      <c r="B14" s="3">
        <v>47500</v>
      </c>
    </row>
    <row r="15" spans="1:2" x14ac:dyDescent="0.25">
      <c r="A15" s="17" t="s">
        <v>26</v>
      </c>
      <c r="B15" s="3">
        <v>71475</v>
      </c>
    </row>
    <row r="16" spans="1:2" x14ac:dyDescent="0.25">
      <c r="A16" s="17" t="s">
        <v>28</v>
      </c>
      <c r="B16" s="3">
        <v>57260</v>
      </c>
    </row>
    <row r="17" spans="1:2" x14ac:dyDescent="0.25">
      <c r="A17" s="17" t="s">
        <v>30</v>
      </c>
      <c r="B17" s="3">
        <v>91667</v>
      </c>
    </row>
    <row r="18" spans="1:2" x14ac:dyDescent="0.25">
      <c r="A18" s="17" t="s">
        <v>133</v>
      </c>
      <c r="B18" s="3">
        <v>0</v>
      </c>
    </row>
    <row r="19" spans="1:2" x14ac:dyDescent="0.25">
      <c r="A19" s="17" t="s">
        <v>31</v>
      </c>
      <c r="B19" s="3">
        <v>68096.03333333334</v>
      </c>
    </row>
    <row r="20" spans="1:2" x14ac:dyDescent="0.25">
      <c r="A20" s="17" t="s">
        <v>142</v>
      </c>
      <c r="B20" s="3">
        <v>43200</v>
      </c>
    </row>
    <row r="21" spans="1:2" x14ac:dyDescent="0.25">
      <c r="A21" s="17" t="s">
        <v>33</v>
      </c>
      <c r="B21" s="3">
        <v>60283.333333333336</v>
      </c>
    </row>
    <row r="22" spans="1:2" x14ac:dyDescent="0.25">
      <c r="A22" s="17" t="s">
        <v>35</v>
      </c>
      <c r="B22" s="3">
        <v>52500</v>
      </c>
    </row>
    <row r="23" spans="1:2" x14ac:dyDescent="0.25">
      <c r="A23" s="17" t="s">
        <v>145</v>
      </c>
      <c r="B23" s="3">
        <v>67500</v>
      </c>
    </row>
    <row r="24" spans="1:2" x14ac:dyDescent="0.25">
      <c r="A24" s="17" t="s">
        <v>107</v>
      </c>
      <c r="B24" s="3">
        <v>64112.166666666664</v>
      </c>
    </row>
    <row r="25" spans="1:2" x14ac:dyDescent="0.25">
      <c r="A25" s="17" t="s">
        <v>174</v>
      </c>
      <c r="B25" s="3">
        <v>72750</v>
      </c>
    </row>
    <row r="26" spans="1:2" x14ac:dyDescent="0.25">
      <c r="A26" s="17" t="s">
        <v>37</v>
      </c>
      <c r="B26" s="3">
        <v>70000</v>
      </c>
    </row>
    <row r="27" spans="1:2" x14ac:dyDescent="0.25">
      <c r="A27" s="17" t="s">
        <v>38</v>
      </c>
      <c r="B27" s="3">
        <v>54565</v>
      </c>
    </row>
    <row r="28" spans="1:2" x14ac:dyDescent="0.25">
      <c r="A28" s="17" t="s">
        <v>152</v>
      </c>
      <c r="B28" s="3">
        <v>48000</v>
      </c>
    </row>
    <row r="29" spans="1:2" x14ac:dyDescent="0.25">
      <c r="A29" s="17" t="s">
        <v>213</v>
      </c>
      <c r="B29" s="3">
        <v>61400</v>
      </c>
    </row>
    <row r="30" spans="1:2" x14ac:dyDescent="0.25">
      <c r="A30" s="17" t="s">
        <v>41</v>
      </c>
      <c r="B30" s="3">
        <v>70000</v>
      </c>
    </row>
    <row r="31" spans="1:2" x14ac:dyDescent="0.25">
      <c r="A31" s="17" t="s">
        <v>177</v>
      </c>
      <c r="B31" s="3">
        <v>84000</v>
      </c>
    </row>
    <row r="32" spans="1:2" x14ac:dyDescent="0.25">
      <c r="A32" s="17" t="s">
        <v>210</v>
      </c>
      <c r="B32" s="3">
        <v>93500</v>
      </c>
    </row>
    <row r="33" spans="1:2" x14ac:dyDescent="0.25">
      <c r="A33" s="17" t="s">
        <v>4</v>
      </c>
      <c r="B33" s="3">
        <v>66510.28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zoomScaleNormal="100" workbookViewId="0">
      <selection activeCell="J1" sqref="J1"/>
    </sheetView>
  </sheetViews>
  <sheetFormatPr defaultRowHeight="15" x14ac:dyDescent="0.25"/>
  <cols>
    <col min="1" max="1" width="38.7109375" customWidth="1"/>
    <col min="2" max="2" width="44.140625" customWidth="1"/>
    <col min="3" max="3" width="14.85546875" customWidth="1"/>
    <col min="4" max="4" width="12.7109375" bestFit="1" customWidth="1"/>
    <col min="5" max="5" width="13.28515625" bestFit="1" customWidth="1"/>
    <col min="6" max="8" width="11.28515625" customWidth="1"/>
    <col min="9" max="9" width="18.7109375" customWidth="1"/>
    <col min="10" max="10" width="16.140625" customWidth="1"/>
  </cols>
  <sheetData>
    <row r="1" spans="1:10" x14ac:dyDescent="0.25">
      <c r="A1" s="12" t="s">
        <v>10</v>
      </c>
      <c r="B1" s="12" t="s">
        <v>43</v>
      </c>
      <c r="C1" s="12" t="s">
        <v>9</v>
      </c>
      <c r="D1" s="12" t="s">
        <v>44</v>
      </c>
      <c r="E1" s="12" t="s">
        <v>223</v>
      </c>
      <c r="F1" s="12" t="s">
        <v>5</v>
      </c>
      <c r="G1" s="12" t="s">
        <v>0</v>
      </c>
      <c r="H1" s="12" t="s">
        <v>7</v>
      </c>
      <c r="I1" s="12" t="s">
        <v>45</v>
      </c>
      <c r="J1" s="12" t="s">
        <v>46</v>
      </c>
    </row>
    <row r="2" spans="1:10" x14ac:dyDescent="0.25">
      <c r="A2" s="13" t="s">
        <v>22</v>
      </c>
      <c r="B2" s="13" t="s">
        <v>47</v>
      </c>
      <c r="C2" s="13" t="s">
        <v>30</v>
      </c>
      <c r="D2" s="21">
        <v>67544</v>
      </c>
      <c r="E2" s="21">
        <v>115790</v>
      </c>
      <c r="F2" s="13" t="s">
        <v>3</v>
      </c>
      <c r="G2" s="13" t="s">
        <v>3</v>
      </c>
      <c r="H2" s="13" t="s">
        <v>2</v>
      </c>
      <c r="I2" s="21">
        <v>3</v>
      </c>
      <c r="J2" s="13">
        <f>(D2+E2)/2</f>
        <v>91667</v>
      </c>
    </row>
    <row r="3" spans="1:10" x14ac:dyDescent="0.25">
      <c r="A3" s="4" t="s">
        <v>96</v>
      </c>
      <c r="B3" s="4" t="s">
        <v>97</v>
      </c>
      <c r="C3" s="4" t="s">
        <v>31</v>
      </c>
      <c r="D3" s="4">
        <v>20000</v>
      </c>
      <c r="E3" s="4">
        <v>30000</v>
      </c>
      <c r="F3" s="4" t="s">
        <v>3</v>
      </c>
      <c r="G3" s="4" t="s">
        <v>3</v>
      </c>
      <c r="H3" s="4" t="s">
        <v>2</v>
      </c>
      <c r="I3" s="4">
        <v>0</v>
      </c>
      <c r="J3" s="4">
        <f>(D3+E3)/2</f>
        <v>25000</v>
      </c>
    </row>
    <row r="4" spans="1:10" x14ac:dyDescent="0.25">
      <c r="A4" s="9" t="s">
        <v>12</v>
      </c>
      <c r="B4" s="9" t="s">
        <v>53</v>
      </c>
      <c r="C4" s="9" t="s">
        <v>11</v>
      </c>
      <c r="D4" s="9">
        <v>40320</v>
      </c>
      <c r="E4" s="9">
        <v>40320</v>
      </c>
      <c r="F4" s="9" t="s">
        <v>2</v>
      </c>
      <c r="G4" s="9" t="s">
        <v>2</v>
      </c>
      <c r="H4" s="9" t="s">
        <v>3</v>
      </c>
      <c r="I4" s="9">
        <v>2</v>
      </c>
      <c r="J4" s="9">
        <f>(D4+E4)/2</f>
        <v>40320</v>
      </c>
    </row>
    <row r="5" spans="1:10" x14ac:dyDescent="0.25">
      <c r="A5" s="4" t="s">
        <v>112</v>
      </c>
      <c r="B5" s="4" t="s">
        <v>113</v>
      </c>
      <c r="C5" s="4" t="s">
        <v>33</v>
      </c>
      <c r="D5" s="4">
        <v>41600</v>
      </c>
      <c r="E5" s="4">
        <v>41600</v>
      </c>
      <c r="F5" s="4" t="s">
        <v>2</v>
      </c>
      <c r="G5" s="4" t="s">
        <v>2</v>
      </c>
      <c r="H5" s="4" t="s">
        <v>3</v>
      </c>
      <c r="I5" s="4">
        <v>0</v>
      </c>
      <c r="J5" s="4">
        <f>(D5+E5)/2</f>
        <v>41600</v>
      </c>
    </row>
    <row r="6" spans="1:10" x14ac:dyDescent="0.25">
      <c r="A6" s="9" t="s">
        <v>88</v>
      </c>
      <c r="B6" s="9" t="s">
        <v>89</v>
      </c>
      <c r="C6" s="9" t="s">
        <v>31</v>
      </c>
      <c r="D6" s="9">
        <v>38400</v>
      </c>
      <c r="E6" s="9">
        <v>42240</v>
      </c>
      <c r="F6" s="9" t="s">
        <v>3</v>
      </c>
      <c r="G6" s="9" t="s">
        <v>2</v>
      </c>
      <c r="H6" s="9" t="s">
        <v>2</v>
      </c>
      <c r="I6" s="9">
        <v>0</v>
      </c>
      <c r="J6" s="9">
        <f>(D6+E6)/2</f>
        <v>40320</v>
      </c>
    </row>
    <row r="7" spans="1:10" x14ac:dyDescent="0.25">
      <c r="A7" s="4" t="s">
        <v>103</v>
      </c>
      <c r="B7" s="4" t="s">
        <v>104</v>
      </c>
      <c r="C7" s="4" t="s">
        <v>20</v>
      </c>
      <c r="D7" s="4">
        <v>47840</v>
      </c>
      <c r="E7" s="4">
        <v>47840</v>
      </c>
      <c r="F7" s="4" t="s">
        <v>2</v>
      </c>
      <c r="G7" s="4" t="s">
        <v>2</v>
      </c>
      <c r="H7" s="4" t="s">
        <v>3</v>
      </c>
      <c r="I7" s="4">
        <v>0</v>
      </c>
      <c r="J7" s="4">
        <f>(D7+E7)/2</f>
        <v>47840</v>
      </c>
    </row>
    <row r="8" spans="1:10" x14ac:dyDescent="0.25">
      <c r="A8" s="9" t="s">
        <v>74</v>
      </c>
      <c r="B8" s="9" t="s">
        <v>110</v>
      </c>
      <c r="C8" s="9" t="s">
        <v>107</v>
      </c>
      <c r="D8" s="9">
        <v>25000</v>
      </c>
      <c r="E8" s="9">
        <v>48000</v>
      </c>
      <c r="F8" s="9" t="s">
        <v>3</v>
      </c>
      <c r="G8" s="9" t="s">
        <v>3</v>
      </c>
      <c r="H8" s="9" t="s">
        <v>2</v>
      </c>
      <c r="I8" s="9">
        <v>0</v>
      </c>
      <c r="J8" s="9">
        <f>(D8+E8)/2</f>
        <v>36500</v>
      </c>
    </row>
    <row r="9" spans="1:10" x14ac:dyDescent="0.25">
      <c r="A9" s="4" t="s">
        <v>16</v>
      </c>
      <c r="B9" s="5" t="s">
        <v>141</v>
      </c>
      <c r="C9" s="4" t="s">
        <v>142</v>
      </c>
      <c r="D9" s="4">
        <v>38400</v>
      </c>
      <c r="E9" s="4">
        <v>48000</v>
      </c>
      <c r="F9" s="4" t="s">
        <v>2</v>
      </c>
      <c r="G9" s="4" t="s">
        <v>2</v>
      </c>
      <c r="H9" s="4" t="s">
        <v>3</v>
      </c>
      <c r="I9" s="4">
        <v>0</v>
      </c>
      <c r="J9" s="4">
        <f>(D9+E9)/2</f>
        <v>43200</v>
      </c>
    </row>
    <row r="10" spans="1:10" x14ac:dyDescent="0.25">
      <c r="A10" s="10" t="s">
        <v>81</v>
      </c>
      <c r="B10" s="9" t="s">
        <v>82</v>
      </c>
      <c r="C10" s="9" t="s">
        <v>15</v>
      </c>
      <c r="D10" s="9">
        <v>37440</v>
      </c>
      <c r="E10" s="9">
        <v>50544</v>
      </c>
      <c r="F10" s="9" t="s">
        <v>2</v>
      </c>
      <c r="G10" s="9" t="s">
        <v>2</v>
      </c>
      <c r="H10" s="9" t="s">
        <v>3</v>
      </c>
      <c r="I10" s="9">
        <v>0</v>
      </c>
      <c r="J10" s="9">
        <f>(D10+E10)/2</f>
        <v>43992</v>
      </c>
    </row>
    <row r="11" spans="1:10" x14ac:dyDescent="0.25">
      <c r="A11" s="14" t="s">
        <v>216</v>
      </c>
      <c r="B11" s="6" t="s">
        <v>217</v>
      </c>
      <c r="C11" s="4" t="s">
        <v>20</v>
      </c>
      <c r="D11" s="4">
        <v>42240</v>
      </c>
      <c r="E11" s="4">
        <v>51840</v>
      </c>
      <c r="F11" s="4" t="s">
        <v>2</v>
      </c>
      <c r="G11" s="4" t="s">
        <v>2</v>
      </c>
      <c r="H11" s="4" t="s">
        <v>2</v>
      </c>
      <c r="I11" s="4">
        <v>0</v>
      </c>
      <c r="J11" s="4">
        <f>(D11+E11)/2</f>
        <v>47040</v>
      </c>
    </row>
    <row r="12" spans="1:10" x14ac:dyDescent="0.25">
      <c r="A12" s="10" t="s">
        <v>21</v>
      </c>
      <c r="B12" s="10" t="s">
        <v>48</v>
      </c>
      <c r="C12" s="9" t="s">
        <v>24</v>
      </c>
      <c r="D12" s="9">
        <v>51000</v>
      </c>
      <c r="E12" s="9">
        <v>52000</v>
      </c>
      <c r="F12" s="9" t="s">
        <v>3</v>
      </c>
      <c r="G12" s="9" t="s">
        <v>2</v>
      </c>
      <c r="H12" s="9" t="s">
        <v>3</v>
      </c>
      <c r="I12" s="9">
        <v>1</v>
      </c>
      <c r="J12" s="9">
        <f>(D12+E12)/2</f>
        <v>51500</v>
      </c>
    </row>
    <row r="13" spans="1:10" x14ac:dyDescent="0.25">
      <c r="A13" s="4" t="s">
        <v>119</v>
      </c>
      <c r="B13" s="4" t="s">
        <v>120</v>
      </c>
      <c r="C13" s="7" t="s">
        <v>26</v>
      </c>
      <c r="D13" s="4">
        <v>53400</v>
      </c>
      <c r="E13" s="4">
        <v>53400</v>
      </c>
      <c r="F13" s="4" t="s">
        <v>3</v>
      </c>
      <c r="G13" s="4" t="s">
        <v>2</v>
      </c>
      <c r="H13" s="4" t="s">
        <v>3</v>
      </c>
      <c r="I13" s="4">
        <v>0</v>
      </c>
      <c r="J13" s="4">
        <f>(D13+E13)/2</f>
        <v>53400</v>
      </c>
    </row>
    <row r="14" spans="1:10" x14ac:dyDescent="0.25">
      <c r="A14" s="9" t="s">
        <v>105</v>
      </c>
      <c r="B14" s="9" t="s">
        <v>106</v>
      </c>
      <c r="C14" s="9" t="s">
        <v>107</v>
      </c>
      <c r="D14" s="9">
        <v>44000</v>
      </c>
      <c r="E14" s="9">
        <v>54000</v>
      </c>
      <c r="F14" s="9" t="s">
        <v>2</v>
      </c>
      <c r="G14" s="9" t="s">
        <v>2</v>
      </c>
      <c r="H14" s="9" t="s">
        <v>3</v>
      </c>
      <c r="I14" s="9">
        <v>0</v>
      </c>
      <c r="J14" s="9">
        <f>(D14+E14)/2</f>
        <v>49000</v>
      </c>
    </row>
    <row r="15" spans="1:10" x14ac:dyDescent="0.25">
      <c r="A15" s="4" t="s">
        <v>182</v>
      </c>
      <c r="B15" s="4" t="s">
        <v>183</v>
      </c>
      <c r="C15" s="4" t="s">
        <v>20</v>
      </c>
      <c r="D15" s="4">
        <v>54533</v>
      </c>
      <c r="E15" s="4">
        <v>54533</v>
      </c>
      <c r="F15" s="4" t="s">
        <v>3</v>
      </c>
      <c r="G15" s="4" t="s">
        <v>2</v>
      </c>
      <c r="H15" s="4" t="s">
        <v>3</v>
      </c>
      <c r="I15" s="4">
        <v>3</v>
      </c>
      <c r="J15" s="4">
        <f>(D15+E15)/2</f>
        <v>54533</v>
      </c>
    </row>
    <row r="16" spans="1:10" x14ac:dyDescent="0.25">
      <c r="A16" s="9" t="s">
        <v>23</v>
      </c>
      <c r="B16" s="9" t="s">
        <v>57</v>
      </c>
      <c r="C16" s="9" t="s">
        <v>20</v>
      </c>
      <c r="D16" s="9">
        <v>46000</v>
      </c>
      <c r="E16" s="9">
        <v>56000</v>
      </c>
      <c r="F16" s="9" t="s">
        <v>3</v>
      </c>
      <c r="G16" s="9" t="s">
        <v>2</v>
      </c>
      <c r="H16" s="9" t="s">
        <v>3</v>
      </c>
      <c r="I16" s="9">
        <v>0</v>
      </c>
      <c r="J16" s="9">
        <f>(D16+E16)/2</f>
        <v>51000</v>
      </c>
    </row>
    <row r="17" spans="1:10" x14ac:dyDescent="0.25">
      <c r="A17" s="4" t="s">
        <v>39</v>
      </c>
      <c r="B17" s="5" t="s">
        <v>60</v>
      </c>
      <c r="C17" s="4" t="s">
        <v>38</v>
      </c>
      <c r="D17" s="4">
        <v>42000</v>
      </c>
      <c r="E17" s="4">
        <v>56000</v>
      </c>
      <c r="F17" s="4" t="s">
        <v>3</v>
      </c>
      <c r="G17" s="4" t="s">
        <v>2</v>
      </c>
      <c r="H17" s="4" t="s">
        <v>3</v>
      </c>
      <c r="I17" s="4">
        <v>4</v>
      </c>
      <c r="J17" s="4">
        <f>(D17+E17)/2</f>
        <v>49000</v>
      </c>
    </row>
    <row r="18" spans="1:10" x14ac:dyDescent="0.25">
      <c r="A18" s="9" t="s">
        <v>86</v>
      </c>
      <c r="B18" s="9" t="s">
        <v>87</v>
      </c>
      <c r="C18" s="9" t="s">
        <v>31</v>
      </c>
      <c r="D18" s="9">
        <v>41000</v>
      </c>
      <c r="E18" s="9">
        <v>56200</v>
      </c>
      <c r="F18" s="9" t="s">
        <v>2</v>
      </c>
      <c r="G18" s="9" t="s">
        <v>2</v>
      </c>
      <c r="H18" s="9" t="s">
        <v>3</v>
      </c>
      <c r="I18" s="9">
        <v>0</v>
      </c>
      <c r="J18" s="9">
        <f>(D18+E18)/2</f>
        <v>48600</v>
      </c>
    </row>
    <row r="19" spans="1:10" x14ac:dyDescent="0.25">
      <c r="A19" s="4" t="s">
        <v>71</v>
      </c>
      <c r="B19" s="4" t="s">
        <v>72</v>
      </c>
      <c r="C19" s="4" t="s">
        <v>15</v>
      </c>
      <c r="D19" s="4">
        <v>48000</v>
      </c>
      <c r="E19" s="4">
        <v>57600</v>
      </c>
      <c r="F19" s="4" t="s">
        <v>2</v>
      </c>
      <c r="G19" s="4" t="s">
        <v>2</v>
      </c>
      <c r="H19" s="4" t="s">
        <v>2</v>
      </c>
      <c r="I19" s="4">
        <v>0</v>
      </c>
      <c r="J19" s="4">
        <f>(D19+E19)/2</f>
        <v>52800</v>
      </c>
    </row>
    <row r="20" spans="1:10" x14ac:dyDescent="0.25">
      <c r="A20" s="9" t="s">
        <v>150</v>
      </c>
      <c r="B20" s="9" t="s">
        <v>151</v>
      </c>
      <c r="C20" s="9" t="s">
        <v>152</v>
      </c>
      <c r="D20" s="9">
        <v>38400</v>
      </c>
      <c r="E20" s="9">
        <v>57600</v>
      </c>
      <c r="F20" s="9" t="s">
        <v>3</v>
      </c>
      <c r="G20" s="9" t="s">
        <v>3</v>
      </c>
      <c r="H20" s="9" t="s">
        <v>2</v>
      </c>
      <c r="I20" s="9">
        <v>0</v>
      </c>
      <c r="J20" s="9">
        <f>(D20+E20)/2</f>
        <v>48000</v>
      </c>
    </row>
    <row r="21" spans="1:10" x14ac:dyDescent="0.25">
      <c r="A21" s="4" t="s">
        <v>126</v>
      </c>
      <c r="B21" s="4" t="s">
        <v>127</v>
      </c>
      <c r="C21" s="4" t="s">
        <v>15</v>
      </c>
      <c r="D21" s="4">
        <v>57849</v>
      </c>
      <c r="E21" s="4">
        <v>57849</v>
      </c>
      <c r="F21" s="4" t="s">
        <v>2</v>
      </c>
      <c r="G21" s="4" t="s">
        <v>2</v>
      </c>
      <c r="H21" s="4" t="s">
        <v>3</v>
      </c>
      <c r="I21" s="4">
        <v>0</v>
      </c>
      <c r="J21" s="4">
        <f>(D21+E21)/2</f>
        <v>57849</v>
      </c>
    </row>
    <row r="22" spans="1:10" x14ac:dyDescent="0.25">
      <c r="A22" s="9" t="s">
        <v>29</v>
      </c>
      <c r="B22" s="9" t="s">
        <v>73</v>
      </c>
      <c r="C22" s="9" t="s">
        <v>28</v>
      </c>
      <c r="D22" s="9">
        <v>55000</v>
      </c>
      <c r="E22" s="9">
        <v>59520</v>
      </c>
      <c r="F22" s="9" t="s">
        <v>2</v>
      </c>
      <c r="G22" s="9" t="s">
        <v>2</v>
      </c>
      <c r="H22" s="9" t="s">
        <v>3</v>
      </c>
      <c r="I22" s="9">
        <v>0</v>
      </c>
      <c r="J22" s="9">
        <f>(D22+E22)/2</f>
        <v>57260</v>
      </c>
    </row>
    <row r="23" spans="1:10" x14ac:dyDescent="0.25">
      <c r="A23" s="4" t="s">
        <v>22</v>
      </c>
      <c r="B23" s="4" t="s">
        <v>59</v>
      </c>
      <c r="C23" s="4" t="s">
        <v>20</v>
      </c>
      <c r="D23" s="4">
        <v>50000</v>
      </c>
      <c r="E23" s="4">
        <v>60000</v>
      </c>
      <c r="F23" s="4" t="s">
        <v>2</v>
      </c>
      <c r="G23" s="4" t="s">
        <v>2</v>
      </c>
      <c r="H23" s="4" t="s">
        <v>2</v>
      </c>
      <c r="I23" s="4">
        <v>2</v>
      </c>
      <c r="J23" s="4">
        <f>(D23+E23)/2</f>
        <v>55000</v>
      </c>
    </row>
    <row r="24" spans="1:10" x14ac:dyDescent="0.25">
      <c r="A24" s="9" t="s">
        <v>63</v>
      </c>
      <c r="B24" s="9" t="s">
        <v>64</v>
      </c>
      <c r="C24" s="9" t="s">
        <v>15</v>
      </c>
      <c r="D24" s="9">
        <v>50000</v>
      </c>
      <c r="E24" s="9">
        <v>60000</v>
      </c>
      <c r="F24" s="9" t="s">
        <v>3</v>
      </c>
      <c r="G24" s="9" t="s">
        <v>3</v>
      </c>
      <c r="H24" s="9" t="s">
        <v>2</v>
      </c>
      <c r="I24" s="9">
        <v>2</v>
      </c>
      <c r="J24" s="9">
        <f>(D24+E24)/2</f>
        <v>55000</v>
      </c>
    </row>
    <row r="25" spans="1:10" x14ac:dyDescent="0.25">
      <c r="A25" s="4" t="s">
        <v>22</v>
      </c>
      <c r="B25" s="4" t="s">
        <v>67</v>
      </c>
      <c r="C25" s="4" t="s">
        <v>25</v>
      </c>
      <c r="D25" s="4">
        <v>35000</v>
      </c>
      <c r="E25" s="4">
        <v>60000</v>
      </c>
      <c r="F25" s="4" t="s">
        <v>2</v>
      </c>
      <c r="G25" s="4" t="s">
        <v>2</v>
      </c>
      <c r="H25" s="4" t="s">
        <v>3</v>
      </c>
      <c r="I25" s="4">
        <v>3</v>
      </c>
      <c r="J25" s="4">
        <f>(D25+E25)/2</f>
        <v>47500</v>
      </c>
    </row>
    <row r="26" spans="1:10" x14ac:dyDescent="0.25">
      <c r="A26" s="9" t="s">
        <v>98</v>
      </c>
      <c r="B26" s="9" t="s">
        <v>99</v>
      </c>
      <c r="C26" s="9" t="s">
        <v>31</v>
      </c>
      <c r="D26" s="9">
        <v>40000</v>
      </c>
      <c r="E26" s="9">
        <v>60000</v>
      </c>
      <c r="F26" s="9" t="s">
        <v>3</v>
      </c>
      <c r="G26" s="9" t="s">
        <v>3</v>
      </c>
      <c r="H26" s="9" t="s">
        <v>2</v>
      </c>
      <c r="I26" s="9">
        <v>0</v>
      </c>
      <c r="J26" s="9">
        <f>(D26+E26)/2</f>
        <v>50000</v>
      </c>
    </row>
    <row r="27" spans="1:10" x14ac:dyDescent="0.25">
      <c r="A27" s="4" t="s">
        <v>148</v>
      </c>
      <c r="B27" s="4" t="s">
        <v>149</v>
      </c>
      <c r="C27" s="4" t="s">
        <v>38</v>
      </c>
      <c r="D27" s="4">
        <v>38016</v>
      </c>
      <c r="E27" s="4">
        <v>60000</v>
      </c>
      <c r="F27" s="4" t="s">
        <v>3</v>
      </c>
      <c r="G27" s="4" t="s">
        <v>2</v>
      </c>
      <c r="H27" s="4" t="s">
        <v>2</v>
      </c>
      <c r="I27" s="4">
        <v>1</v>
      </c>
      <c r="J27" s="4">
        <f>(D27+E27)/2</f>
        <v>49008</v>
      </c>
    </row>
    <row r="28" spans="1:10" x14ac:dyDescent="0.25">
      <c r="A28" s="9" t="s">
        <v>153</v>
      </c>
      <c r="B28" s="10" t="s">
        <v>154</v>
      </c>
      <c r="C28" s="9" t="s">
        <v>15</v>
      </c>
      <c r="D28" s="9">
        <v>48000</v>
      </c>
      <c r="E28" s="9">
        <v>60000</v>
      </c>
      <c r="F28" s="9" t="s">
        <v>2</v>
      </c>
      <c r="G28" s="9" t="s">
        <v>2</v>
      </c>
      <c r="H28" s="9" t="s">
        <v>3</v>
      </c>
      <c r="I28" s="9">
        <v>2</v>
      </c>
      <c r="J28" s="9">
        <f>(D28+E28)/2</f>
        <v>54000</v>
      </c>
    </row>
    <row r="29" spans="1:10" x14ac:dyDescent="0.25">
      <c r="A29" s="4" t="s">
        <v>200</v>
      </c>
      <c r="B29" s="6" t="s">
        <v>199</v>
      </c>
      <c r="C29" s="4" t="s">
        <v>26</v>
      </c>
      <c r="D29" s="4">
        <v>45000</v>
      </c>
      <c r="E29" s="4">
        <v>60000</v>
      </c>
      <c r="F29" s="4" t="s">
        <v>2</v>
      </c>
      <c r="G29" s="4" t="s">
        <v>2</v>
      </c>
      <c r="H29" s="4" t="s">
        <v>3</v>
      </c>
      <c r="I29" s="4">
        <v>3</v>
      </c>
      <c r="J29" s="4">
        <f>(D29+E29)/2</f>
        <v>52500</v>
      </c>
    </row>
    <row r="30" spans="1:10" x14ac:dyDescent="0.25">
      <c r="A30" s="9" t="s">
        <v>212</v>
      </c>
      <c r="B30" s="11" t="s">
        <v>211</v>
      </c>
      <c r="C30" s="9" t="s">
        <v>213</v>
      </c>
      <c r="D30" s="9">
        <v>61400</v>
      </c>
      <c r="E30" s="9">
        <v>61400</v>
      </c>
      <c r="F30" s="9" t="s">
        <v>2</v>
      </c>
      <c r="G30" s="9" t="s">
        <v>2</v>
      </c>
      <c r="H30" s="9" t="s">
        <v>3</v>
      </c>
      <c r="I30" s="9">
        <v>0</v>
      </c>
      <c r="J30" s="9">
        <f>(D30+E30)/2</f>
        <v>61400</v>
      </c>
    </row>
    <row r="31" spans="1:10" x14ac:dyDescent="0.25">
      <c r="A31" s="4" t="s">
        <v>197</v>
      </c>
      <c r="B31" s="6" t="s">
        <v>198</v>
      </c>
      <c r="C31" s="4" t="s">
        <v>20</v>
      </c>
      <c r="D31" s="4">
        <v>61440</v>
      </c>
      <c r="E31" s="4">
        <v>61440</v>
      </c>
      <c r="F31" s="4" t="s">
        <v>2</v>
      </c>
      <c r="G31" s="4" t="s">
        <v>2</v>
      </c>
      <c r="H31" s="4" t="s">
        <v>3</v>
      </c>
      <c r="I31" s="4">
        <v>2</v>
      </c>
      <c r="J31" s="4">
        <f>(D31+E31)/2</f>
        <v>61440</v>
      </c>
    </row>
    <row r="32" spans="1:10" x14ac:dyDescent="0.25">
      <c r="A32" s="9" t="s">
        <v>74</v>
      </c>
      <c r="B32" s="9" t="s">
        <v>111</v>
      </c>
      <c r="C32" s="9" t="s">
        <v>33</v>
      </c>
      <c r="D32" s="9">
        <v>42000</v>
      </c>
      <c r="E32" s="9">
        <v>62000</v>
      </c>
      <c r="F32" s="9" t="s">
        <v>3</v>
      </c>
      <c r="G32" s="9" t="s">
        <v>2</v>
      </c>
      <c r="H32" s="9" t="s">
        <v>3</v>
      </c>
      <c r="I32" s="9">
        <v>0</v>
      </c>
      <c r="J32" s="9">
        <f>(D32+E32)/2</f>
        <v>52000</v>
      </c>
    </row>
    <row r="33" spans="1:10" x14ac:dyDescent="0.25">
      <c r="A33" s="4" t="s">
        <v>40</v>
      </c>
      <c r="B33" s="4" t="s">
        <v>56</v>
      </c>
      <c r="C33" s="4" t="s">
        <v>38</v>
      </c>
      <c r="D33" s="4">
        <v>58000</v>
      </c>
      <c r="E33" s="4">
        <v>62400</v>
      </c>
      <c r="F33" s="4" t="s">
        <v>3</v>
      </c>
      <c r="G33" s="4" t="s">
        <v>2</v>
      </c>
      <c r="H33" s="4" t="s">
        <v>2</v>
      </c>
      <c r="I33" s="4">
        <v>0</v>
      </c>
      <c r="J33" s="4">
        <f>(D33+E33)/2</f>
        <v>60200</v>
      </c>
    </row>
    <row r="34" spans="1:10" x14ac:dyDescent="0.25">
      <c r="A34" s="13" t="s">
        <v>114</v>
      </c>
      <c r="B34" s="9" t="s">
        <v>115</v>
      </c>
      <c r="C34" s="9" t="s">
        <v>33</v>
      </c>
      <c r="D34" s="9">
        <v>52000</v>
      </c>
      <c r="E34" s="9">
        <v>62400</v>
      </c>
      <c r="F34" s="9" t="s">
        <v>2</v>
      </c>
      <c r="G34" s="9" t="s">
        <v>2</v>
      </c>
      <c r="H34" s="9" t="s">
        <v>2</v>
      </c>
      <c r="I34" s="9">
        <v>0</v>
      </c>
      <c r="J34" s="9">
        <f>(D34+E34)/2</f>
        <v>57200</v>
      </c>
    </row>
    <row r="35" spans="1:10" x14ac:dyDescent="0.25">
      <c r="A35" s="4" t="s">
        <v>36</v>
      </c>
      <c r="B35" s="8" t="s">
        <v>52</v>
      </c>
      <c r="C35" s="4" t="s">
        <v>35</v>
      </c>
      <c r="D35" s="4">
        <v>42000</v>
      </c>
      <c r="E35" s="4">
        <v>63000</v>
      </c>
      <c r="F35" s="4" t="s">
        <v>3</v>
      </c>
      <c r="G35" s="4" t="s">
        <v>2</v>
      </c>
      <c r="H35" s="4" t="s">
        <v>2</v>
      </c>
      <c r="I35" s="4">
        <v>2</v>
      </c>
      <c r="J35" s="4">
        <f>(D35+E35)/2</f>
        <v>52500</v>
      </c>
    </row>
    <row r="36" spans="1:10" x14ac:dyDescent="0.25">
      <c r="A36" s="9" t="s">
        <v>16</v>
      </c>
      <c r="B36" s="9" t="s">
        <v>65</v>
      </c>
      <c r="C36" s="9" t="s">
        <v>38</v>
      </c>
      <c r="D36" s="9">
        <v>55104</v>
      </c>
      <c r="E36" s="9">
        <v>65000</v>
      </c>
      <c r="F36" s="9" t="s">
        <v>3</v>
      </c>
      <c r="G36" s="9" t="s">
        <v>2</v>
      </c>
      <c r="H36" s="9" t="s">
        <v>3</v>
      </c>
      <c r="I36" s="9">
        <v>0</v>
      </c>
      <c r="J36" s="9">
        <f>(D36+E36)/2</f>
        <v>60052</v>
      </c>
    </row>
    <row r="37" spans="1:10" x14ac:dyDescent="0.25">
      <c r="A37" s="4" t="s">
        <v>178</v>
      </c>
      <c r="B37" s="4" t="s">
        <v>179</v>
      </c>
      <c r="C37" s="4" t="s">
        <v>174</v>
      </c>
      <c r="D37" s="4">
        <v>65000</v>
      </c>
      <c r="E37" s="4">
        <v>65000</v>
      </c>
      <c r="F37" s="4" t="s">
        <v>2</v>
      </c>
      <c r="G37" s="4" t="s">
        <v>2</v>
      </c>
      <c r="H37" s="4" t="s">
        <v>3</v>
      </c>
      <c r="I37" s="4">
        <v>3</v>
      </c>
      <c r="J37" s="4">
        <f>(D37+E37)/2</f>
        <v>65000</v>
      </c>
    </row>
    <row r="38" spans="1:10" x14ac:dyDescent="0.25">
      <c r="A38" s="9" t="s">
        <v>191</v>
      </c>
      <c r="B38" s="9" t="s">
        <v>192</v>
      </c>
      <c r="C38" s="9" t="s">
        <v>20</v>
      </c>
      <c r="D38" s="9">
        <v>65000</v>
      </c>
      <c r="E38" s="9">
        <v>65000</v>
      </c>
      <c r="F38" s="9" t="s">
        <v>3</v>
      </c>
      <c r="G38" s="9" t="s">
        <v>2</v>
      </c>
      <c r="H38" s="9" t="s">
        <v>3</v>
      </c>
      <c r="I38" s="9">
        <v>1</v>
      </c>
      <c r="J38" s="9">
        <f>(D38+E38)/2</f>
        <v>65000</v>
      </c>
    </row>
    <row r="39" spans="1:10" x14ac:dyDescent="0.25">
      <c r="A39" s="4" t="s">
        <v>32</v>
      </c>
      <c r="B39" s="4" t="s">
        <v>68</v>
      </c>
      <c r="C39" s="4" t="s">
        <v>31</v>
      </c>
      <c r="D39" s="4">
        <v>38400</v>
      </c>
      <c r="E39" s="4">
        <v>65280</v>
      </c>
      <c r="F39" s="4" t="s">
        <v>2</v>
      </c>
      <c r="G39" s="4" t="s">
        <v>2</v>
      </c>
      <c r="H39" s="4" t="s">
        <v>3</v>
      </c>
      <c r="I39" s="4">
        <v>0</v>
      </c>
      <c r="J39" s="4">
        <f>(D39+E39)/2</f>
        <v>51840</v>
      </c>
    </row>
    <row r="40" spans="1:10" x14ac:dyDescent="0.25">
      <c r="A40" s="9" t="s">
        <v>74</v>
      </c>
      <c r="B40" s="9" t="s">
        <v>75</v>
      </c>
      <c r="C40" s="9" t="s">
        <v>76</v>
      </c>
      <c r="D40" s="9">
        <v>66000</v>
      </c>
      <c r="E40" s="9">
        <v>67500</v>
      </c>
      <c r="F40" s="9" t="s">
        <v>3</v>
      </c>
      <c r="G40" s="9" t="s">
        <v>2</v>
      </c>
      <c r="H40" s="9" t="s">
        <v>2</v>
      </c>
      <c r="I40" s="9">
        <v>1</v>
      </c>
      <c r="J40" s="9">
        <f>(D40+E40)/2</f>
        <v>66750</v>
      </c>
    </row>
    <row r="41" spans="1:10" x14ac:dyDescent="0.25">
      <c r="A41" s="4" t="s">
        <v>108</v>
      </c>
      <c r="B41" s="4" t="s">
        <v>108</v>
      </c>
      <c r="C41" s="4" t="s">
        <v>107</v>
      </c>
      <c r="D41" s="4">
        <v>68723</v>
      </c>
      <c r="E41" s="4">
        <v>68723</v>
      </c>
      <c r="F41" s="4" t="s">
        <v>3</v>
      </c>
      <c r="G41" s="4" t="s">
        <v>2</v>
      </c>
      <c r="H41" s="4" t="s">
        <v>3</v>
      </c>
      <c r="I41" s="4">
        <v>1</v>
      </c>
      <c r="J41" s="4">
        <f>(D41+E41)/2</f>
        <v>68723</v>
      </c>
    </row>
    <row r="42" spans="1:10" x14ac:dyDescent="0.25">
      <c r="A42" s="9" t="s">
        <v>27</v>
      </c>
      <c r="B42" s="9" t="s">
        <v>61</v>
      </c>
      <c r="C42" s="9" t="s">
        <v>26</v>
      </c>
      <c r="D42" s="9">
        <v>50000</v>
      </c>
      <c r="E42" s="9">
        <v>70000</v>
      </c>
      <c r="F42" s="9" t="s">
        <v>2</v>
      </c>
      <c r="G42" s="9" t="s">
        <v>2</v>
      </c>
      <c r="H42" s="9" t="s">
        <v>3</v>
      </c>
      <c r="I42" s="9">
        <v>2</v>
      </c>
      <c r="J42" s="9">
        <f>(D42+E42)/2</f>
        <v>60000</v>
      </c>
    </row>
    <row r="43" spans="1:10" x14ac:dyDescent="0.25">
      <c r="A43" s="4" t="s">
        <v>17</v>
      </c>
      <c r="B43" s="4" t="s">
        <v>62</v>
      </c>
      <c r="C43" s="4" t="s">
        <v>15</v>
      </c>
      <c r="D43" s="4">
        <v>53600</v>
      </c>
      <c r="E43" s="4">
        <v>70000</v>
      </c>
      <c r="F43" s="4" t="s">
        <v>3</v>
      </c>
      <c r="G43" s="4" t="s">
        <v>2</v>
      </c>
      <c r="H43" s="4" t="s">
        <v>3</v>
      </c>
      <c r="I43" s="4">
        <v>3</v>
      </c>
      <c r="J43" s="4">
        <f>(D43+E43)/2</f>
        <v>61800</v>
      </c>
    </row>
    <row r="44" spans="1:10" x14ac:dyDescent="0.25">
      <c r="A44" s="9" t="s">
        <v>143</v>
      </c>
      <c r="B44" s="9" t="s">
        <v>144</v>
      </c>
      <c r="C44" s="9" t="s">
        <v>145</v>
      </c>
      <c r="D44" s="9">
        <v>65000</v>
      </c>
      <c r="E44" s="9">
        <v>70000</v>
      </c>
      <c r="F44" s="9" t="s">
        <v>2</v>
      </c>
      <c r="G44" s="9" t="s">
        <v>2</v>
      </c>
      <c r="H44" s="9" t="s">
        <v>3</v>
      </c>
      <c r="I44" s="9">
        <v>1</v>
      </c>
      <c r="J44" s="9">
        <f>(D44+E44)/2</f>
        <v>67500</v>
      </c>
    </row>
    <row r="45" spans="1:10" x14ac:dyDescent="0.25">
      <c r="A45" s="14" t="s">
        <v>166</v>
      </c>
      <c r="B45" s="4" t="s">
        <v>167</v>
      </c>
      <c r="C45" s="4" t="s">
        <v>107</v>
      </c>
      <c r="D45" s="4">
        <v>50000</v>
      </c>
      <c r="E45" s="4">
        <v>70000</v>
      </c>
      <c r="F45" s="4" t="s">
        <v>3</v>
      </c>
      <c r="G45" s="4" t="s">
        <v>3</v>
      </c>
      <c r="H45" s="4" t="s">
        <v>2</v>
      </c>
      <c r="I45" s="4">
        <v>0</v>
      </c>
      <c r="J45" s="4">
        <f>(D45+E45)/2</f>
        <v>60000</v>
      </c>
    </row>
    <row r="46" spans="1:10" x14ac:dyDescent="0.25">
      <c r="A46" s="9" t="s">
        <v>34</v>
      </c>
      <c r="B46" s="9" t="s">
        <v>66</v>
      </c>
      <c r="C46" s="9" t="s">
        <v>33</v>
      </c>
      <c r="D46" s="9">
        <v>51000</v>
      </c>
      <c r="E46" s="9">
        <v>71000</v>
      </c>
      <c r="F46" s="9" t="s">
        <v>3</v>
      </c>
      <c r="G46" s="9" t="s">
        <v>2</v>
      </c>
      <c r="H46" s="9" t="s">
        <v>3</v>
      </c>
      <c r="I46" s="9">
        <v>2</v>
      </c>
      <c r="J46" s="9">
        <f>(D46+E46)/2</f>
        <v>61000</v>
      </c>
    </row>
    <row r="47" spans="1:10" x14ac:dyDescent="0.25">
      <c r="A47" s="4" t="s">
        <v>124</v>
      </c>
      <c r="B47" s="4" t="s">
        <v>125</v>
      </c>
      <c r="C47" s="4" t="s">
        <v>15</v>
      </c>
      <c r="D47" s="4">
        <v>42000</v>
      </c>
      <c r="E47" s="4">
        <v>73000</v>
      </c>
      <c r="F47" s="4" t="s">
        <v>3</v>
      </c>
      <c r="G47" s="4" t="s">
        <v>3</v>
      </c>
      <c r="H47" s="4" t="s">
        <v>2</v>
      </c>
      <c r="I47" s="4">
        <v>0</v>
      </c>
      <c r="J47" s="4">
        <f>(D47+E47)/2</f>
        <v>57500</v>
      </c>
    </row>
    <row r="48" spans="1:10" x14ac:dyDescent="0.25">
      <c r="A48" s="9" t="s">
        <v>134</v>
      </c>
      <c r="B48" s="9" t="s">
        <v>135</v>
      </c>
      <c r="C48" s="9" t="s">
        <v>136</v>
      </c>
      <c r="D48" s="9">
        <v>60712</v>
      </c>
      <c r="E48" s="9">
        <v>73115</v>
      </c>
      <c r="F48" s="9" t="s">
        <v>2</v>
      </c>
      <c r="G48" s="9" t="s">
        <v>2</v>
      </c>
      <c r="H48" s="9" t="s">
        <v>3</v>
      </c>
      <c r="I48" s="9">
        <v>0</v>
      </c>
      <c r="J48" s="15">
        <f>(D48+E48)/2</f>
        <v>66913.5</v>
      </c>
    </row>
    <row r="49" spans="1:10" x14ac:dyDescent="0.25">
      <c r="A49" s="4" t="s">
        <v>206</v>
      </c>
      <c r="B49" s="6" t="s">
        <v>207</v>
      </c>
      <c r="C49" s="4" t="s">
        <v>15</v>
      </c>
      <c r="D49" s="4">
        <v>65000</v>
      </c>
      <c r="E49" s="4">
        <v>75000</v>
      </c>
      <c r="F49" s="4" t="s">
        <v>3</v>
      </c>
      <c r="G49" s="4" t="s">
        <v>3</v>
      </c>
      <c r="H49" s="4" t="s">
        <v>3</v>
      </c>
      <c r="I49" s="4">
        <v>1</v>
      </c>
      <c r="J49" s="4">
        <f>(D49+E49)/2</f>
        <v>70000</v>
      </c>
    </row>
    <row r="50" spans="1:10" x14ac:dyDescent="0.25">
      <c r="A50" s="9" t="s">
        <v>108</v>
      </c>
      <c r="B50" s="11" t="s">
        <v>196</v>
      </c>
      <c r="C50" s="9" t="s">
        <v>15</v>
      </c>
      <c r="D50" s="9">
        <v>76800</v>
      </c>
      <c r="E50" s="9">
        <v>76800</v>
      </c>
      <c r="F50" s="9" t="s">
        <v>3</v>
      </c>
      <c r="G50" s="9" t="s">
        <v>2</v>
      </c>
      <c r="H50" s="9" t="s">
        <v>2</v>
      </c>
      <c r="I50" s="9">
        <v>0</v>
      </c>
      <c r="J50" s="9">
        <f>(D50+E50)/2</f>
        <v>76800</v>
      </c>
    </row>
    <row r="51" spans="1:10" x14ac:dyDescent="0.25">
      <c r="A51" s="4" t="s">
        <v>14</v>
      </c>
      <c r="B51" s="4" t="s">
        <v>70</v>
      </c>
      <c r="C51" s="4" t="s">
        <v>13</v>
      </c>
      <c r="D51" s="4">
        <v>66000</v>
      </c>
      <c r="E51" s="4">
        <v>77000</v>
      </c>
      <c r="F51" s="4" t="s">
        <v>3</v>
      </c>
      <c r="G51" s="4" t="s">
        <v>2</v>
      </c>
      <c r="H51" s="4" t="s">
        <v>3</v>
      </c>
      <c r="I51" s="4">
        <v>0</v>
      </c>
      <c r="J51" s="4">
        <f>(D51+E51)/2</f>
        <v>71500</v>
      </c>
    </row>
    <row r="52" spans="1:10" x14ac:dyDescent="0.25">
      <c r="A52" s="9" t="s">
        <v>101</v>
      </c>
      <c r="B52" s="9" t="s">
        <v>102</v>
      </c>
      <c r="C52" s="9" t="s">
        <v>20</v>
      </c>
      <c r="D52" s="9">
        <v>65786</v>
      </c>
      <c r="E52" s="9">
        <v>79000</v>
      </c>
      <c r="F52" s="9" t="s">
        <v>3</v>
      </c>
      <c r="G52" s="9" t="s">
        <v>3</v>
      </c>
      <c r="H52" s="9" t="s">
        <v>3</v>
      </c>
      <c r="I52" s="9">
        <v>0</v>
      </c>
      <c r="J52" s="9">
        <f>(D52+E52)/2</f>
        <v>72393</v>
      </c>
    </row>
    <row r="53" spans="1:10" x14ac:dyDescent="0.25">
      <c r="A53" s="5" t="s">
        <v>50</v>
      </c>
      <c r="B53" s="5" t="s">
        <v>51</v>
      </c>
      <c r="C53" s="4" t="s">
        <v>31</v>
      </c>
      <c r="D53" s="4">
        <v>60000</v>
      </c>
      <c r="E53" s="4">
        <v>80000</v>
      </c>
      <c r="F53" s="4" t="s">
        <v>3</v>
      </c>
      <c r="G53" s="4" t="s">
        <v>3</v>
      </c>
      <c r="H53" s="4" t="s">
        <v>3</v>
      </c>
      <c r="I53" s="4">
        <v>1</v>
      </c>
      <c r="J53" s="4">
        <f>(D53+E53)/2</f>
        <v>70000</v>
      </c>
    </row>
    <row r="54" spans="1:10" x14ac:dyDescent="0.25">
      <c r="A54" s="9" t="s">
        <v>42</v>
      </c>
      <c r="B54" s="9" t="s">
        <v>58</v>
      </c>
      <c r="C54" s="9" t="s">
        <v>41</v>
      </c>
      <c r="D54" s="9">
        <v>60000</v>
      </c>
      <c r="E54" s="9">
        <v>80000</v>
      </c>
      <c r="F54" s="9" t="s">
        <v>3</v>
      </c>
      <c r="G54" s="9" t="s">
        <v>3</v>
      </c>
      <c r="H54" s="9" t="s">
        <v>2</v>
      </c>
      <c r="I54" s="9">
        <v>0</v>
      </c>
      <c r="J54" s="9">
        <f>(D54+E54)/2</f>
        <v>70000</v>
      </c>
    </row>
    <row r="55" spans="1:10" x14ac:dyDescent="0.25">
      <c r="A55" s="4" t="s">
        <v>79</v>
      </c>
      <c r="B55" s="4" t="s">
        <v>80</v>
      </c>
      <c r="C55" s="4" t="s">
        <v>76</v>
      </c>
      <c r="D55" s="4">
        <v>60000</v>
      </c>
      <c r="E55" s="4">
        <v>80000</v>
      </c>
      <c r="F55" s="4" t="s">
        <v>3</v>
      </c>
      <c r="G55" s="4" t="s">
        <v>2</v>
      </c>
      <c r="H55" s="4" t="s">
        <v>2</v>
      </c>
      <c r="I55" s="4">
        <v>1</v>
      </c>
      <c r="J55" s="4">
        <f>(D55+E55)/2</f>
        <v>70000</v>
      </c>
    </row>
    <row r="56" spans="1:10" x14ac:dyDescent="0.25">
      <c r="A56" s="9" t="s">
        <v>22</v>
      </c>
      <c r="B56" s="9" t="s">
        <v>57</v>
      </c>
      <c r="C56" s="9" t="s">
        <v>31</v>
      </c>
      <c r="D56" s="9">
        <v>60000</v>
      </c>
      <c r="E56" s="9">
        <v>80000</v>
      </c>
      <c r="F56" s="9" t="s">
        <v>3</v>
      </c>
      <c r="G56" s="9" t="s">
        <v>2</v>
      </c>
      <c r="H56" s="9" t="s">
        <v>3</v>
      </c>
      <c r="I56" s="9">
        <v>0</v>
      </c>
      <c r="J56" s="9">
        <f>(D56+E56)/2</f>
        <v>70000</v>
      </c>
    </row>
    <row r="57" spans="1:10" x14ac:dyDescent="0.25">
      <c r="A57" s="4" t="s">
        <v>91</v>
      </c>
      <c r="B57" s="4" t="s">
        <v>92</v>
      </c>
      <c r="C57" s="4" t="s">
        <v>31</v>
      </c>
      <c r="D57" s="4">
        <v>70000</v>
      </c>
      <c r="E57" s="4">
        <v>80000</v>
      </c>
      <c r="F57" s="4" t="s">
        <v>2</v>
      </c>
      <c r="G57" s="4" t="s">
        <v>2</v>
      </c>
      <c r="H57" s="4" t="s">
        <v>3</v>
      </c>
      <c r="I57" s="4">
        <v>0</v>
      </c>
      <c r="J57" s="4">
        <f>(D57+E57)/2</f>
        <v>75000</v>
      </c>
    </row>
    <row r="58" spans="1:10" x14ac:dyDescent="0.25">
      <c r="A58" s="9" t="s">
        <v>137</v>
      </c>
      <c r="B58" s="9" t="s">
        <v>138</v>
      </c>
      <c r="C58" s="9" t="s">
        <v>20</v>
      </c>
      <c r="D58" s="9">
        <v>80000</v>
      </c>
      <c r="E58" s="9">
        <v>80000</v>
      </c>
      <c r="F58" s="9" t="s">
        <v>3</v>
      </c>
      <c r="G58" s="9" t="s">
        <v>2</v>
      </c>
      <c r="H58" s="9" t="s">
        <v>3</v>
      </c>
      <c r="I58" s="9">
        <v>2</v>
      </c>
      <c r="J58" s="9">
        <f>(D58+E58)/2</f>
        <v>80000</v>
      </c>
    </row>
    <row r="59" spans="1:10" x14ac:dyDescent="0.25">
      <c r="A59" s="4" t="s">
        <v>180</v>
      </c>
      <c r="B59" s="4" t="s">
        <v>181</v>
      </c>
      <c r="C59" s="4" t="s">
        <v>31</v>
      </c>
      <c r="D59" s="4">
        <v>60000</v>
      </c>
      <c r="E59" s="4">
        <v>80000</v>
      </c>
      <c r="F59" s="4" t="s">
        <v>3</v>
      </c>
      <c r="G59" s="4" t="s">
        <v>2</v>
      </c>
      <c r="H59" s="4" t="s">
        <v>3</v>
      </c>
      <c r="I59" s="4">
        <v>3</v>
      </c>
      <c r="J59" s="4">
        <f>(D59+E59)/2</f>
        <v>70000</v>
      </c>
    </row>
    <row r="60" spans="1:10" x14ac:dyDescent="0.25">
      <c r="A60" s="9" t="s">
        <v>193</v>
      </c>
      <c r="B60" s="9" t="s">
        <v>80</v>
      </c>
      <c r="C60" s="9" t="s">
        <v>15</v>
      </c>
      <c r="D60" s="9">
        <v>60000</v>
      </c>
      <c r="E60" s="9">
        <v>80000</v>
      </c>
      <c r="F60" s="9" t="s">
        <v>3</v>
      </c>
      <c r="G60" s="9" t="s">
        <v>2</v>
      </c>
      <c r="H60" s="9" t="s">
        <v>2</v>
      </c>
      <c r="I60" s="9">
        <v>1</v>
      </c>
      <c r="J60" s="9">
        <f>(D60+E60)/2</f>
        <v>70000</v>
      </c>
    </row>
    <row r="61" spans="1:10" x14ac:dyDescent="0.25">
      <c r="A61" s="4" t="s">
        <v>16</v>
      </c>
      <c r="B61" s="4" t="s">
        <v>195</v>
      </c>
      <c r="C61" s="4" t="s">
        <v>20</v>
      </c>
      <c r="D61" s="4">
        <v>70000</v>
      </c>
      <c r="E61" s="4">
        <v>80000</v>
      </c>
      <c r="F61" s="4" t="s">
        <v>3</v>
      </c>
      <c r="G61" s="4" t="s">
        <v>3</v>
      </c>
      <c r="H61" s="4" t="s">
        <v>2</v>
      </c>
      <c r="I61" s="4">
        <v>0</v>
      </c>
      <c r="J61" s="4">
        <f>(D61+E61)/2</f>
        <v>75000</v>
      </c>
    </row>
    <row r="62" spans="1:10" x14ac:dyDescent="0.25">
      <c r="A62" s="9" t="s">
        <v>202</v>
      </c>
      <c r="B62" s="11" t="s">
        <v>201</v>
      </c>
      <c r="C62" s="9" t="s">
        <v>33</v>
      </c>
      <c r="D62" s="9">
        <v>64700</v>
      </c>
      <c r="E62" s="9">
        <v>84100</v>
      </c>
      <c r="F62" s="9" t="s">
        <v>2</v>
      </c>
      <c r="G62" s="9" t="s">
        <v>2</v>
      </c>
      <c r="H62" s="9" t="s">
        <v>3</v>
      </c>
      <c r="I62" s="9">
        <v>0</v>
      </c>
      <c r="J62" s="9">
        <f>(D62+E62)/2</f>
        <v>74400</v>
      </c>
    </row>
    <row r="63" spans="1:10" x14ac:dyDescent="0.25">
      <c r="A63" s="4" t="s">
        <v>170</v>
      </c>
      <c r="B63" s="4" t="s">
        <v>171</v>
      </c>
      <c r="C63" s="4" t="s">
        <v>15</v>
      </c>
      <c r="D63" s="4">
        <v>50000</v>
      </c>
      <c r="E63" s="4">
        <v>85000</v>
      </c>
      <c r="F63" s="4" t="s">
        <v>2</v>
      </c>
      <c r="G63" s="4" t="s">
        <v>2</v>
      </c>
      <c r="H63" s="4" t="s">
        <v>3</v>
      </c>
      <c r="I63" s="4">
        <v>2</v>
      </c>
      <c r="J63" s="4">
        <f>(D63+E63)/2</f>
        <v>67500</v>
      </c>
    </row>
    <row r="64" spans="1:10" x14ac:dyDescent="0.25">
      <c r="A64" s="9" t="s">
        <v>16</v>
      </c>
      <c r="B64" s="9" t="s">
        <v>69</v>
      </c>
      <c r="C64" s="9" t="s">
        <v>15</v>
      </c>
      <c r="D64" s="9">
        <v>75480</v>
      </c>
      <c r="E64" s="9">
        <v>85392</v>
      </c>
      <c r="F64" s="9" t="s">
        <v>3</v>
      </c>
      <c r="G64" s="9" t="s">
        <v>2</v>
      </c>
      <c r="H64" s="9" t="s">
        <v>3</v>
      </c>
      <c r="I64" s="9">
        <v>3</v>
      </c>
      <c r="J64" s="9">
        <f>(D64+E64)/2</f>
        <v>80436</v>
      </c>
    </row>
    <row r="65" spans="1:10" x14ac:dyDescent="0.25">
      <c r="A65" s="4" t="s">
        <v>19</v>
      </c>
      <c r="B65" s="5" t="s">
        <v>49</v>
      </c>
      <c r="C65" s="4" t="s">
        <v>15</v>
      </c>
      <c r="D65" s="4">
        <v>65104</v>
      </c>
      <c r="E65" s="4">
        <v>85869</v>
      </c>
      <c r="F65" s="4" t="s">
        <v>3</v>
      </c>
      <c r="G65" s="4" t="s">
        <v>3</v>
      </c>
      <c r="H65" s="4" t="s">
        <v>3</v>
      </c>
      <c r="I65" s="4">
        <v>2</v>
      </c>
      <c r="J65" s="16">
        <f>(D65+E65)/2</f>
        <v>75486.5</v>
      </c>
    </row>
    <row r="66" spans="1:10" x14ac:dyDescent="0.25">
      <c r="A66" s="9" t="s">
        <v>146</v>
      </c>
      <c r="B66" s="9" t="s">
        <v>147</v>
      </c>
      <c r="C66" s="9" t="s">
        <v>33</v>
      </c>
      <c r="D66" s="9">
        <v>64000</v>
      </c>
      <c r="E66" s="9">
        <v>87000</v>
      </c>
      <c r="F66" s="9" t="s">
        <v>2</v>
      </c>
      <c r="G66" s="9" t="s">
        <v>2</v>
      </c>
      <c r="H66" s="9" t="s">
        <v>3</v>
      </c>
      <c r="I66" s="9">
        <v>1</v>
      </c>
      <c r="J66" s="9">
        <f>(D66+E66)/2</f>
        <v>75500</v>
      </c>
    </row>
    <row r="67" spans="1:10" x14ac:dyDescent="0.25">
      <c r="A67" s="4" t="s">
        <v>161</v>
      </c>
      <c r="B67" s="4" t="s">
        <v>162</v>
      </c>
      <c r="C67" s="4" t="s">
        <v>15</v>
      </c>
      <c r="D67" s="4">
        <v>61000</v>
      </c>
      <c r="E67" s="4">
        <v>87000</v>
      </c>
      <c r="F67" s="4" t="s">
        <v>2</v>
      </c>
      <c r="G67" s="4" t="s">
        <v>2</v>
      </c>
      <c r="H67" s="4" t="s">
        <v>3</v>
      </c>
      <c r="I67" s="4">
        <v>0</v>
      </c>
      <c r="J67" s="4">
        <f>(D67+E67)/2</f>
        <v>74000</v>
      </c>
    </row>
    <row r="68" spans="1:10" x14ac:dyDescent="0.25">
      <c r="A68" s="9" t="s">
        <v>159</v>
      </c>
      <c r="B68" s="9" t="s">
        <v>160</v>
      </c>
      <c r="C68" s="9" t="s">
        <v>15</v>
      </c>
      <c r="D68" s="9">
        <v>54283</v>
      </c>
      <c r="E68" s="9">
        <v>87045</v>
      </c>
      <c r="F68" s="9" t="s">
        <v>3</v>
      </c>
      <c r="G68" s="9" t="s">
        <v>3</v>
      </c>
      <c r="H68" s="9" t="s">
        <v>3</v>
      </c>
      <c r="I68" s="9">
        <v>0</v>
      </c>
      <c r="J68" s="9">
        <f>(D68+E68)/2</f>
        <v>70664</v>
      </c>
    </row>
    <row r="69" spans="1:10" x14ac:dyDescent="0.25">
      <c r="A69" s="4" t="s">
        <v>128</v>
      </c>
      <c r="B69" s="4" t="s">
        <v>129</v>
      </c>
      <c r="C69" s="4" t="s">
        <v>15</v>
      </c>
      <c r="D69" s="4">
        <v>67000</v>
      </c>
      <c r="E69" s="4">
        <v>89000</v>
      </c>
      <c r="F69" s="4" t="s">
        <v>2</v>
      </c>
      <c r="G69" s="4" t="s">
        <v>2</v>
      </c>
      <c r="H69" s="4" t="s">
        <v>3</v>
      </c>
      <c r="I69" s="4">
        <v>0</v>
      </c>
      <c r="J69" s="4">
        <f>(D69+E69)/2</f>
        <v>78000</v>
      </c>
    </row>
    <row r="70" spans="1:10" x14ac:dyDescent="0.25">
      <c r="A70" s="9" t="s">
        <v>16</v>
      </c>
      <c r="B70" s="9" t="s">
        <v>55</v>
      </c>
      <c r="C70" s="9" t="s">
        <v>37</v>
      </c>
      <c r="D70" s="9">
        <v>50000</v>
      </c>
      <c r="E70" s="9">
        <v>90000</v>
      </c>
      <c r="F70" s="9" t="s">
        <v>2</v>
      </c>
      <c r="G70" s="9" t="s">
        <v>2</v>
      </c>
      <c r="H70" s="9" t="s">
        <v>2</v>
      </c>
      <c r="I70" s="9">
        <v>0</v>
      </c>
      <c r="J70" s="9">
        <f>(D70+E70)/2</f>
        <v>70000</v>
      </c>
    </row>
    <row r="71" spans="1:10" x14ac:dyDescent="0.25">
      <c r="A71" s="4" t="s">
        <v>172</v>
      </c>
      <c r="B71" s="4" t="s">
        <v>173</v>
      </c>
      <c r="C71" s="4" t="s">
        <v>174</v>
      </c>
      <c r="D71" s="4">
        <v>70000</v>
      </c>
      <c r="E71" s="4">
        <v>91000</v>
      </c>
      <c r="F71" s="4" t="s">
        <v>2</v>
      </c>
      <c r="G71" s="4" t="s">
        <v>2</v>
      </c>
      <c r="H71" s="4" t="s">
        <v>3</v>
      </c>
      <c r="I71" s="4">
        <v>1</v>
      </c>
      <c r="J71" s="4">
        <f>(D71+E71)/2</f>
        <v>80500</v>
      </c>
    </row>
    <row r="72" spans="1:10" x14ac:dyDescent="0.25">
      <c r="A72" s="9" t="s">
        <v>155</v>
      </c>
      <c r="B72" s="9" t="s">
        <v>156</v>
      </c>
      <c r="C72" s="9" t="s">
        <v>15</v>
      </c>
      <c r="D72" s="9">
        <v>59000</v>
      </c>
      <c r="E72" s="9">
        <v>92000</v>
      </c>
      <c r="F72" s="9" t="s">
        <v>2</v>
      </c>
      <c r="G72" s="9" t="s">
        <v>2</v>
      </c>
      <c r="H72" s="9" t="s">
        <v>3</v>
      </c>
      <c r="I72" s="9">
        <v>3</v>
      </c>
      <c r="J72" s="9">
        <f>(D72+E72)/2</f>
        <v>75500</v>
      </c>
    </row>
    <row r="73" spans="1:10" x14ac:dyDescent="0.25">
      <c r="A73" s="5" t="s">
        <v>18</v>
      </c>
      <c r="B73" s="5" t="s">
        <v>49</v>
      </c>
      <c r="C73" s="4" t="s">
        <v>15</v>
      </c>
      <c r="D73" s="4">
        <v>57612</v>
      </c>
      <c r="E73" s="4">
        <v>93132</v>
      </c>
      <c r="F73" s="4" t="s">
        <v>3</v>
      </c>
      <c r="G73" s="4" t="s">
        <v>2</v>
      </c>
      <c r="H73" s="4" t="s">
        <v>3</v>
      </c>
      <c r="I73" s="4">
        <v>2</v>
      </c>
      <c r="J73" s="4">
        <f>(D73+E73)/2</f>
        <v>75372</v>
      </c>
    </row>
    <row r="74" spans="1:10" x14ac:dyDescent="0.25">
      <c r="A74" s="10" t="s">
        <v>157</v>
      </c>
      <c r="B74" s="9" t="s">
        <v>158</v>
      </c>
      <c r="C74" s="9" t="s">
        <v>15</v>
      </c>
      <c r="D74" s="9">
        <v>77000</v>
      </c>
      <c r="E74" s="9">
        <v>95000</v>
      </c>
      <c r="F74" s="9" t="s">
        <v>2</v>
      </c>
      <c r="G74" s="9" t="s">
        <v>2</v>
      </c>
      <c r="H74" s="9" t="s">
        <v>3</v>
      </c>
      <c r="I74" s="9">
        <v>0</v>
      </c>
      <c r="J74" s="9">
        <f>(D74+E74)/2</f>
        <v>86000</v>
      </c>
    </row>
    <row r="75" spans="1:10" x14ac:dyDescent="0.25">
      <c r="A75" s="4" t="s">
        <v>175</v>
      </c>
      <c r="B75" s="4" t="s">
        <v>176</v>
      </c>
      <c r="C75" s="4" t="s">
        <v>177</v>
      </c>
      <c r="D75" s="4">
        <v>73000</v>
      </c>
      <c r="E75" s="4">
        <v>95000</v>
      </c>
      <c r="F75" s="4" t="s">
        <v>3</v>
      </c>
      <c r="G75" s="4" t="s">
        <v>2</v>
      </c>
      <c r="H75" s="4" t="s">
        <v>3</v>
      </c>
      <c r="I75" s="4">
        <v>1</v>
      </c>
      <c r="J75" s="4">
        <f>(D75+E75)/2</f>
        <v>84000</v>
      </c>
    </row>
    <row r="76" spans="1:10" x14ac:dyDescent="0.25">
      <c r="A76" s="9" t="s">
        <v>184</v>
      </c>
      <c r="B76" s="9" t="s">
        <v>185</v>
      </c>
      <c r="C76" s="9" t="s">
        <v>31</v>
      </c>
      <c r="D76" s="9">
        <v>64200</v>
      </c>
      <c r="E76" s="9">
        <v>96200</v>
      </c>
      <c r="F76" s="9" t="s">
        <v>3</v>
      </c>
      <c r="G76" s="9" t="s">
        <v>2</v>
      </c>
      <c r="H76" s="9" t="s">
        <v>2</v>
      </c>
      <c r="I76" s="9">
        <v>2</v>
      </c>
      <c r="J76" s="9">
        <f>(D76+E76)/2</f>
        <v>80200</v>
      </c>
    </row>
    <row r="77" spans="1:10" x14ac:dyDescent="0.25">
      <c r="A77" s="4" t="s">
        <v>205</v>
      </c>
      <c r="B77" s="6" t="s">
        <v>204</v>
      </c>
      <c r="C77" s="4" t="s">
        <v>15</v>
      </c>
      <c r="D77" s="4">
        <v>55800</v>
      </c>
      <c r="E77" s="4">
        <v>97600</v>
      </c>
      <c r="F77" s="4" t="s">
        <v>3</v>
      </c>
      <c r="G77" s="4" t="s">
        <v>2</v>
      </c>
      <c r="H77" s="4" t="s">
        <v>2</v>
      </c>
      <c r="I77" s="4">
        <v>2</v>
      </c>
      <c r="J77" s="4">
        <f>(D77+E77)/2</f>
        <v>76700</v>
      </c>
    </row>
    <row r="78" spans="1:10" x14ac:dyDescent="0.25">
      <c r="A78" s="9" t="s">
        <v>121</v>
      </c>
      <c r="B78" s="9" t="s">
        <v>122</v>
      </c>
      <c r="C78" s="9" t="s">
        <v>123</v>
      </c>
      <c r="D78" s="9">
        <v>78757</v>
      </c>
      <c r="E78" s="9">
        <v>100879</v>
      </c>
      <c r="F78" s="9" t="s">
        <v>3</v>
      </c>
      <c r="G78" s="9" t="s">
        <v>2</v>
      </c>
      <c r="H78" s="9" t="s">
        <v>2</v>
      </c>
      <c r="I78" s="9">
        <v>1</v>
      </c>
      <c r="J78" s="9">
        <f>(D78+E78)/2</f>
        <v>89818</v>
      </c>
    </row>
    <row r="79" spans="1:10" x14ac:dyDescent="0.25">
      <c r="A79" s="4" t="s">
        <v>208</v>
      </c>
      <c r="B79" s="6" t="s">
        <v>209</v>
      </c>
      <c r="C79" s="4" t="s">
        <v>210</v>
      </c>
      <c r="D79" s="4">
        <v>86000</v>
      </c>
      <c r="E79" s="4">
        <v>101000</v>
      </c>
      <c r="F79" s="4" t="s">
        <v>3</v>
      </c>
      <c r="G79" s="4" t="s">
        <v>3</v>
      </c>
      <c r="H79" s="4" t="s">
        <v>3</v>
      </c>
      <c r="I79" s="4">
        <v>1</v>
      </c>
      <c r="J79" s="4">
        <f>(D79+E79)/2</f>
        <v>93500</v>
      </c>
    </row>
    <row r="80" spans="1:10" x14ac:dyDescent="0.25">
      <c r="A80" s="9" t="s">
        <v>74</v>
      </c>
      <c r="B80" s="9" t="s">
        <v>109</v>
      </c>
      <c r="C80" s="9" t="s">
        <v>107</v>
      </c>
      <c r="D80" s="9">
        <v>57500</v>
      </c>
      <c r="E80" s="9">
        <v>103400</v>
      </c>
      <c r="F80" s="9" t="s">
        <v>3</v>
      </c>
      <c r="G80" s="9" t="s">
        <v>2</v>
      </c>
      <c r="H80" s="9" t="s">
        <v>3</v>
      </c>
      <c r="I80" s="9">
        <v>0</v>
      </c>
      <c r="J80" s="9">
        <f>(D80+E80)/2</f>
        <v>80450</v>
      </c>
    </row>
    <row r="81" spans="1:10" x14ac:dyDescent="0.25">
      <c r="A81" s="4" t="s">
        <v>21</v>
      </c>
      <c r="B81" s="4" t="s">
        <v>54</v>
      </c>
      <c r="C81" s="4" t="s">
        <v>20</v>
      </c>
      <c r="D81" s="4">
        <v>57100</v>
      </c>
      <c r="E81" s="4">
        <v>104000</v>
      </c>
      <c r="F81" s="4" t="s">
        <v>3</v>
      </c>
      <c r="G81" s="4" t="s">
        <v>3</v>
      </c>
      <c r="H81" s="4" t="s">
        <v>2</v>
      </c>
      <c r="I81" s="4">
        <v>0</v>
      </c>
      <c r="J81" s="4">
        <f>(D81+E81)/2</f>
        <v>80550</v>
      </c>
    </row>
    <row r="82" spans="1:10" x14ac:dyDescent="0.25">
      <c r="A82" s="9" t="s">
        <v>85</v>
      </c>
      <c r="B82" s="9" t="s">
        <v>54</v>
      </c>
      <c r="C82" s="9" t="s">
        <v>15</v>
      </c>
      <c r="D82" s="9">
        <v>57100</v>
      </c>
      <c r="E82" s="9">
        <v>104000</v>
      </c>
      <c r="F82" s="9" t="s">
        <v>3</v>
      </c>
      <c r="G82" s="9" t="s">
        <v>3</v>
      </c>
      <c r="H82" s="9" t="s">
        <v>2</v>
      </c>
      <c r="I82" s="9">
        <v>0</v>
      </c>
      <c r="J82" s="9">
        <f>(D82+E82)/2</f>
        <v>80550</v>
      </c>
    </row>
    <row r="83" spans="1:10" x14ac:dyDescent="0.25">
      <c r="A83" s="4" t="s">
        <v>93</v>
      </c>
      <c r="B83" s="4" t="s">
        <v>94</v>
      </c>
      <c r="C83" s="4" t="s">
        <v>31</v>
      </c>
      <c r="D83" s="4">
        <v>106000</v>
      </c>
      <c r="E83" s="4">
        <v>107000</v>
      </c>
      <c r="F83" s="4" t="s">
        <v>3</v>
      </c>
      <c r="G83" s="4" t="s">
        <v>3</v>
      </c>
      <c r="H83" s="4" t="s">
        <v>3</v>
      </c>
      <c r="I83" s="4">
        <v>1</v>
      </c>
      <c r="J83" s="4">
        <f>(D83+E83)/2</f>
        <v>106500</v>
      </c>
    </row>
    <row r="84" spans="1:10" x14ac:dyDescent="0.25">
      <c r="A84" s="9" t="s">
        <v>74</v>
      </c>
      <c r="B84" s="9" t="s">
        <v>194</v>
      </c>
      <c r="C84" s="9" t="s">
        <v>20</v>
      </c>
      <c r="D84" s="9">
        <v>107000</v>
      </c>
      <c r="E84" s="9">
        <v>108000</v>
      </c>
      <c r="F84" s="9" t="s">
        <v>3</v>
      </c>
      <c r="G84" s="9" t="s">
        <v>3</v>
      </c>
      <c r="H84" s="9" t="s">
        <v>2</v>
      </c>
      <c r="I84" s="9">
        <v>0</v>
      </c>
      <c r="J84" s="9">
        <f>(D84+E84)/2</f>
        <v>107500</v>
      </c>
    </row>
    <row r="85" spans="1:10" x14ac:dyDescent="0.25">
      <c r="A85" s="4" t="s">
        <v>186</v>
      </c>
      <c r="B85" s="4" t="s">
        <v>187</v>
      </c>
      <c r="C85" s="4" t="s">
        <v>107</v>
      </c>
      <c r="D85" s="4">
        <v>70000</v>
      </c>
      <c r="E85" s="4">
        <v>110000</v>
      </c>
      <c r="F85" s="4" t="s">
        <v>3</v>
      </c>
      <c r="G85" s="4" t="s">
        <v>3</v>
      </c>
      <c r="H85" s="4" t="s">
        <v>2</v>
      </c>
      <c r="I85" s="4">
        <v>2</v>
      </c>
      <c r="J85" s="4">
        <f>(D85+E85)/2</f>
        <v>90000</v>
      </c>
    </row>
    <row r="86" spans="1:10" x14ac:dyDescent="0.25">
      <c r="A86" s="9" t="s">
        <v>163</v>
      </c>
      <c r="B86" s="9" t="s">
        <v>164</v>
      </c>
      <c r="C86" s="9" t="s">
        <v>165</v>
      </c>
      <c r="D86" s="9">
        <v>95000</v>
      </c>
      <c r="E86" s="9">
        <v>120000</v>
      </c>
      <c r="F86" s="9" t="s">
        <v>3</v>
      </c>
      <c r="G86" s="9" t="s">
        <v>3</v>
      </c>
      <c r="H86" s="9" t="s">
        <v>2</v>
      </c>
      <c r="I86" s="9">
        <v>0</v>
      </c>
      <c r="J86" s="9">
        <f>(D86+E86)/2</f>
        <v>107500</v>
      </c>
    </row>
    <row r="87" spans="1:10" x14ac:dyDescent="0.25">
      <c r="A87" s="4" t="s">
        <v>214</v>
      </c>
      <c r="B87" s="6" t="s">
        <v>215</v>
      </c>
      <c r="C87" s="4" t="s">
        <v>15</v>
      </c>
      <c r="D87" s="4">
        <v>110000</v>
      </c>
      <c r="E87" s="4">
        <v>120000</v>
      </c>
      <c r="F87" s="4" t="s">
        <v>3</v>
      </c>
      <c r="G87" s="4" t="s">
        <v>3</v>
      </c>
      <c r="H87" s="4" t="s">
        <v>3</v>
      </c>
      <c r="I87" s="4">
        <v>0</v>
      </c>
      <c r="J87" s="4">
        <f>(D87+E87)/2</f>
        <v>115000</v>
      </c>
    </row>
    <row r="88" spans="1:10" x14ac:dyDescent="0.25">
      <c r="A88" s="9" t="s">
        <v>77</v>
      </c>
      <c r="B88" s="9" t="s">
        <v>78</v>
      </c>
      <c r="C88" s="9" t="s">
        <v>15</v>
      </c>
      <c r="D88" s="9">
        <v>80000</v>
      </c>
      <c r="E88" s="9">
        <v>121000</v>
      </c>
      <c r="F88" s="9" t="s">
        <v>2</v>
      </c>
      <c r="G88" s="9" t="s">
        <v>3</v>
      </c>
      <c r="H88" s="9" t="s">
        <v>2</v>
      </c>
      <c r="I88" s="9">
        <v>0</v>
      </c>
      <c r="J88" s="9">
        <f>(D88+E88)/2</f>
        <v>100500</v>
      </c>
    </row>
    <row r="89" spans="1:10" x14ac:dyDescent="0.25">
      <c r="A89" s="4" t="s">
        <v>188</v>
      </c>
      <c r="B89" s="4" t="s">
        <v>189</v>
      </c>
      <c r="C89" s="4" t="s">
        <v>190</v>
      </c>
      <c r="D89" s="4">
        <v>71000</v>
      </c>
      <c r="E89" s="4">
        <v>121000</v>
      </c>
      <c r="F89" s="4" t="s">
        <v>3</v>
      </c>
      <c r="G89" s="4" t="s">
        <v>2</v>
      </c>
      <c r="H89" s="4" t="s">
        <v>3</v>
      </c>
      <c r="I89" s="4">
        <v>3</v>
      </c>
      <c r="J89" s="4">
        <f>(D89+E89)/2</f>
        <v>96000</v>
      </c>
    </row>
    <row r="90" spans="1:10" x14ac:dyDescent="0.25">
      <c r="A90" s="9" t="s">
        <v>130</v>
      </c>
      <c r="B90" s="9" t="s">
        <v>131</v>
      </c>
      <c r="C90" s="9" t="s">
        <v>26</v>
      </c>
      <c r="D90" s="9">
        <v>115200</v>
      </c>
      <c r="E90" s="9">
        <v>124800</v>
      </c>
      <c r="F90" s="9" t="s">
        <v>3</v>
      </c>
      <c r="G90" s="9" t="s">
        <v>2</v>
      </c>
      <c r="H90" s="9" t="s">
        <v>2</v>
      </c>
      <c r="I90" s="9">
        <v>1</v>
      </c>
      <c r="J90" s="9">
        <f>(D90+E90)/2</f>
        <v>120000</v>
      </c>
    </row>
    <row r="91" spans="1:10" x14ac:dyDescent="0.25">
      <c r="A91" s="4" t="s">
        <v>83</v>
      </c>
      <c r="B91" s="4" t="s">
        <v>84</v>
      </c>
      <c r="C91" s="4" t="s">
        <v>15</v>
      </c>
      <c r="D91" s="4">
        <v>74017</v>
      </c>
      <c r="E91" s="4">
        <v>124944</v>
      </c>
      <c r="F91" s="4" t="s">
        <v>2</v>
      </c>
      <c r="G91" s="4" t="s">
        <v>2</v>
      </c>
      <c r="H91" s="4" t="s">
        <v>2</v>
      </c>
      <c r="I91" s="4">
        <v>0</v>
      </c>
      <c r="J91" s="16">
        <f>(D91+E91)/2</f>
        <v>99480.5</v>
      </c>
    </row>
    <row r="92" spans="1:10" x14ac:dyDescent="0.25">
      <c r="A92" s="10" t="s">
        <v>83</v>
      </c>
      <c r="B92" s="9" t="s">
        <v>95</v>
      </c>
      <c r="C92" s="9" t="s">
        <v>31</v>
      </c>
      <c r="D92" s="9">
        <v>74017</v>
      </c>
      <c r="E92" s="9">
        <v>124944</v>
      </c>
      <c r="F92" s="9" t="s">
        <v>2</v>
      </c>
      <c r="G92" s="9" t="s">
        <v>2</v>
      </c>
      <c r="H92" s="9" t="s">
        <v>2</v>
      </c>
      <c r="I92" s="9">
        <v>0</v>
      </c>
      <c r="J92" s="15">
        <f>(D92+E92)/2</f>
        <v>99480.5</v>
      </c>
    </row>
    <row r="93" spans="1:10" x14ac:dyDescent="0.25">
      <c r="A93" s="4" t="s">
        <v>116</v>
      </c>
      <c r="B93" s="5" t="s">
        <v>117</v>
      </c>
      <c r="C93" s="4" t="s">
        <v>31</v>
      </c>
      <c r="D93" s="4">
        <v>102000</v>
      </c>
      <c r="E93" s="4">
        <v>142000</v>
      </c>
      <c r="F93" s="4" t="s">
        <v>3</v>
      </c>
      <c r="G93" s="4" t="s">
        <v>3</v>
      </c>
      <c r="H93" s="4" t="s">
        <v>2</v>
      </c>
      <c r="I93" s="4">
        <v>0</v>
      </c>
      <c r="J93" s="4">
        <f>(D93+E93)/2</f>
        <v>122000</v>
      </c>
    </row>
    <row r="94" spans="1:10" x14ac:dyDescent="0.25">
      <c r="A94" s="10" t="s">
        <v>16</v>
      </c>
      <c r="B94" s="9" t="s">
        <v>90</v>
      </c>
      <c r="C94" s="9" t="s">
        <v>31</v>
      </c>
      <c r="D94" s="9">
        <v>75000</v>
      </c>
      <c r="E94" s="9">
        <v>150000</v>
      </c>
      <c r="F94" s="9" t="s">
        <v>3</v>
      </c>
      <c r="G94" s="9" t="s">
        <v>2</v>
      </c>
      <c r="H94" s="9" t="s">
        <v>3</v>
      </c>
      <c r="I94" s="9">
        <v>1</v>
      </c>
      <c r="J94" s="9">
        <f>(D94+E94)/2</f>
        <v>112500</v>
      </c>
    </row>
    <row r="95" spans="1:10" x14ac:dyDescent="0.25">
      <c r="A95" s="4" t="s">
        <v>16</v>
      </c>
      <c r="B95" s="6" t="s">
        <v>203</v>
      </c>
      <c r="C95" s="4" t="s">
        <v>20</v>
      </c>
      <c r="D95" s="4">
        <v>75000</v>
      </c>
      <c r="E95" s="4">
        <v>150000</v>
      </c>
      <c r="F95" s="4" t="s">
        <v>2</v>
      </c>
      <c r="G95" s="4" t="s">
        <v>2</v>
      </c>
      <c r="H95" s="4" t="s">
        <v>3</v>
      </c>
      <c r="I95" s="4">
        <v>1</v>
      </c>
      <c r="J95" s="4">
        <f>(D95+E95)/2</f>
        <v>112500</v>
      </c>
    </row>
    <row r="96" spans="1:10" x14ac:dyDescent="0.25">
      <c r="A96" s="9" t="s">
        <v>168</v>
      </c>
      <c r="B96" s="9" t="s">
        <v>169</v>
      </c>
      <c r="C96" s="9" t="s">
        <v>15</v>
      </c>
      <c r="D96" s="9">
        <v>90000</v>
      </c>
      <c r="E96" s="9">
        <v>154000</v>
      </c>
      <c r="F96" s="9" t="s">
        <v>2</v>
      </c>
      <c r="G96" s="9" t="s">
        <v>3</v>
      </c>
      <c r="H96" s="9" t="s">
        <v>2</v>
      </c>
      <c r="I96" s="9">
        <v>0</v>
      </c>
      <c r="J96" s="9">
        <f>(D96+E96)/2</f>
        <v>122000</v>
      </c>
    </row>
    <row r="97" spans="1:10" x14ac:dyDescent="0.25">
      <c r="A97" s="4" t="s">
        <v>93</v>
      </c>
      <c r="B97" s="4" t="s">
        <v>100</v>
      </c>
      <c r="C97" s="4" t="s">
        <v>20</v>
      </c>
      <c r="D97" s="4"/>
      <c r="E97" s="4"/>
      <c r="F97" s="4" t="s">
        <v>3</v>
      </c>
      <c r="G97" s="4" t="s">
        <v>2</v>
      </c>
      <c r="H97" s="4" t="s">
        <v>2</v>
      </c>
      <c r="I97" s="4">
        <v>0</v>
      </c>
      <c r="J97" s="4">
        <f>(D97+E97)/2</f>
        <v>0</v>
      </c>
    </row>
    <row r="98" spans="1:10" x14ac:dyDescent="0.25">
      <c r="A98" s="9" t="s">
        <v>22</v>
      </c>
      <c r="B98" s="9" t="s">
        <v>118</v>
      </c>
      <c r="C98" s="9" t="s">
        <v>20</v>
      </c>
      <c r="D98" s="9"/>
      <c r="E98" s="9"/>
      <c r="F98" s="9" t="s">
        <v>3</v>
      </c>
      <c r="G98" s="9" t="s">
        <v>2</v>
      </c>
      <c r="H98" s="9" t="s">
        <v>3</v>
      </c>
      <c r="I98" s="9">
        <v>0</v>
      </c>
      <c r="J98" s="9">
        <f>(D98+E98)/2</f>
        <v>0</v>
      </c>
    </row>
    <row r="99" spans="1:10" x14ac:dyDescent="0.25">
      <c r="A99" s="4" t="s">
        <v>22</v>
      </c>
      <c r="B99" s="4" t="s">
        <v>118</v>
      </c>
      <c r="C99" s="4" t="s">
        <v>20</v>
      </c>
      <c r="D99" s="4"/>
      <c r="E99" s="4"/>
      <c r="F99" s="4" t="s">
        <v>3</v>
      </c>
      <c r="G99" s="4" t="s">
        <v>2</v>
      </c>
      <c r="H99" s="4" t="s">
        <v>3</v>
      </c>
      <c r="I99" s="4">
        <v>0</v>
      </c>
      <c r="J99" s="4">
        <f>(D99+E99)/2</f>
        <v>0</v>
      </c>
    </row>
    <row r="100" spans="1:10" x14ac:dyDescent="0.25">
      <c r="A100" s="9" t="s">
        <v>16</v>
      </c>
      <c r="B100" s="9" t="s">
        <v>132</v>
      </c>
      <c r="C100" s="9" t="s">
        <v>133</v>
      </c>
      <c r="D100" s="9"/>
      <c r="E100" s="9"/>
      <c r="F100" s="9" t="s">
        <v>3</v>
      </c>
      <c r="G100" s="9" t="s">
        <v>2</v>
      </c>
      <c r="H100" s="9" t="s">
        <v>3</v>
      </c>
      <c r="I100" s="9">
        <v>0</v>
      </c>
      <c r="J100" s="9">
        <f>(D100+E100)/2</f>
        <v>0</v>
      </c>
    </row>
    <row r="101" spans="1:10" x14ac:dyDescent="0.25">
      <c r="A101" s="4" t="s">
        <v>139</v>
      </c>
      <c r="B101" s="4" t="s">
        <v>140</v>
      </c>
      <c r="C101" s="4" t="s">
        <v>31</v>
      </c>
      <c r="D101" s="4"/>
      <c r="E101" s="4"/>
      <c r="F101" s="4" t="s">
        <v>2</v>
      </c>
      <c r="G101" s="4" t="s">
        <v>2</v>
      </c>
      <c r="H101" s="4" t="s">
        <v>3</v>
      </c>
      <c r="I101" s="4">
        <v>2</v>
      </c>
      <c r="J101" s="4">
        <f>(D101+E101)/2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B26A-4857-407B-B532-C8D3AF99CE9D}">
  <dimension ref="A1:M21"/>
  <sheetViews>
    <sheetView showGridLines="0" workbookViewId="0">
      <selection activeCell="J34" sqref="J34"/>
    </sheetView>
  </sheetViews>
  <sheetFormatPr defaultRowHeight="15" x14ac:dyDescent="0.25"/>
  <cols>
    <col min="1" max="1" width="15.28515625" bestFit="1" customWidth="1"/>
    <col min="12" max="12" width="13.85546875" bestFit="1" customWidth="1"/>
  </cols>
  <sheetData>
    <row r="1" spans="1:13" x14ac:dyDescent="0.25">
      <c r="A1" s="18" t="s">
        <v>222</v>
      </c>
    </row>
    <row r="2" spans="1:13" x14ac:dyDescent="0.25">
      <c r="L2" s="18" t="s">
        <v>46</v>
      </c>
      <c r="M2" s="19">
        <f>AVERAGE('Job Market Data Analyst project'!$J$3:$J$101)</f>
        <v>66256.171717171717</v>
      </c>
    </row>
    <row r="3" spans="1:13" x14ac:dyDescent="0.25">
      <c r="A3" s="18" t="s">
        <v>219</v>
      </c>
      <c r="B3" s="18">
        <v>100</v>
      </c>
    </row>
    <row r="4" spans="1:13" x14ac:dyDescent="0.25">
      <c r="A4" s="18" t="s">
        <v>220</v>
      </c>
      <c r="B4" s="20" t="s">
        <v>15</v>
      </c>
    </row>
    <row r="21" spans="1:2" x14ac:dyDescent="0.25">
      <c r="A21" s="18" t="s">
        <v>221</v>
      </c>
      <c r="B21" s="18" t="s">
        <v>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7AECE7-A3F7-41AA-AAEA-871CDD1FF3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Python Demand</vt:lpstr>
      <vt:lpstr>SQL Demand</vt:lpstr>
      <vt:lpstr>Excel Demand</vt:lpstr>
      <vt:lpstr>Jobs By City</vt:lpstr>
      <vt:lpstr>Average Salary By City</vt:lpstr>
      <vt:lpstr>Job Market Data Analyst project</vt:lpstr>
      <vt:lpstr>DashBoard</vt:lpstr>
      <vt:lpstr>Excel</vt:lpstr>
      <vt:lpstr>Python</vt:lpstr>
      <vt:lpstr>SQL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Mkhi Marksjones</dc:creator>
  <cp:keywords/>
  <dc:description/>
  <cp:lastModifiedBy>Mkhi Marksjones</cp:lastModifiedBy>
  <cp:revision/>
  <dcterms:created xsi:type="dcterms:W3CDTF">2026-03-03T22:16:19Z</dcterms:created>
  <dcterms:modified xsi:type="dcterms:W3CDTF">2026-03-25T09:58:51Z</dcterms:modified>
  <cp:category/>
  <cp:contentStatus/>
</cp:coreProperties>
</file>